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saunders\Downloads\"/>
    </mc:Choice>
  </mc:AlternateContent>
  <xr:revisionPtr revIDLastSave="0" documentId="13_ncr:1_{D0924D24-4DAF-4D53-9C08-FA6762045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lementation Plan" sheetId="1" r:id="rId1"/>
    <sheet name="Summary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8" i="2" s="1"/>
</calcChain>
</file>

<file path=xl/sharedStrings.xml><?xml version="1.0" encoding="utf-8"?>
<sst xmlns="http://schemas.openxmlformats.org/spreadsheetml/2006/main" count="387" uniqueCount="212">
  <si>
    <t>Phase</t>
  </si>
  <si>
    <t>Task ID</t>
  </si>
  <si>
    <t>Task</t>
  </si>
  <si>
    <t>Description</t>
  </si>
  <si>
    <t>Owner</t>
  </si>
  <si>
    <t>Priority</t>
  </si>
  <si>
    <t>Status</t>
  </si>
  <si>
    <t>Start Date</t>
  </si>
  <si>
    <t>End Date</t>
  </si>
  <si>
    <t>Dependency</t>
  </si>
  <si>
    <t>Deliverable</t>
  </si>
  <si>
    <t>Acceptance Criteria</t>
  </si>
  <si>
    <t>1. Discovery</t>
  </si>
  <si>
    <t>1.1</t>
  </si>
  <si>
    <t>Complete branch infrastructure audit</t>
  </si>
  <si>
    <t>Record existing servers, firmware, network, storage, power, backup and AD details.</t>
  </si>
  <si>
    <t>Infrastructure Engineer</t>
  </si>
  <si>
    <t>High</t>
  </si>
  <si>
    <t>Not Started</t>
  </si>
  <si>
    <t>2026-05-01</t>
  </si>
  <si>
    <t>2026-05-03</t>
  </si>
  <si>
    <t>None</t>
  </si>
  <si>
    <t>Completed branch audit sheet</t>
  </si>
  <si>
    <t>Audit completed and reviewed</t>
  </si>
  <si>
    <t>1.2</t>
  </si>
  <si>
    <t>Confirm current VM inventory</t>
  </si>
  <si>
    <t>Identify DC1, DC2, DHCP1, MGMT1, FILE1 and any branch-specific VMs.</t>
  </si>
  <si>
    <t>Validated VM list</t>
  </si>
  <si>
    <t>All VMs documented</t>
  </si>
  <si>
    <t>1.3</t>
  </si>
  <si>
    <t>Confirm site readiness</t>
  </si>
  <si>
    <t>Check rack space, UPS capacity, PDU capacity, cooling and switch ports.</t>
  </si>
  <si>
    <t>Project Manager</t>
  </si>
  <si>
    <t>2026-05-02</t>
  </si>
  <si>
    <t>2026-05-04</t>
  </si>
  <si>
    <t>Site readiness approval</t>
  </si>
  <si>
    <t>Site approved for upgrade</t>
  </si>
  <si>
    <t>2. Existing Host Upgrade</t>
  </si>
  <si>
    <t>2.1</t>
  </si>
  <si>
    <t>Update firmware baseline</t>
  </si>
  <si>
    <t>Update BIOS, iDRAC, RAID controller, NIC and chipset firmware on HV01 and HV02.</t>
  </si>
  <si>
    <t>2026-05-05</t>
  </si>
  <si>
    <t>2026-05-06</t>
  </si>
  <si>
    <t>Firmware update record</t>
  </si>
  <si>
    <t>Both hosts match approved baseline</t>
  </si>
  <si>
    <t>2.2</t>
  </si>
  <si>
    <t>Patch Windows Server</t>
  </si>
  <si>
    <t>Apply approved Windows Server 2022 Datacenter updates through WSUS.</t>
  </si>
  <si>
    <t>Patch record</t>
  </si>
  <si>
    <t>No critical updates outstanding</t>
  </si>
  <si>
    <t>2.3</t>
  </si>
  <si>
    <t>Validate Hyper-V configuration</t>
  </si>
  <si>
    <t>Confirm virtual switches, VLANs, host management and VM networking.</t>
  </si>
  <si>
    <t>2026-05-07</t>
  </si>
  <si>
    <t>Hyper-V validation record</t>
  </si>
  <si>
    <t>Hyper-V configuration healthy</t>
  </si>
  <si>
    <t>2.4</t>
  </si>
  <si>
    <t>Validate Failover Clustering feature</t>
  </si>
  <si>
    <t>Install or confirm Failover Clustering feature on existing hosts.</t>
  </si>
  <si>
    <t>Medium</t>
  </si>
  <si>
    <t>Cluster feature confirmation</t>
  </si>
  <si>
    <t>Feature available on both hosts</t>
  </si>
  <si>
    <t>3. Third Server Installation</t>
  </si>
  <si>
    <t>3.1</t>
  </si>
  <si>
    <t>Rack and cable HV03</t>
  </si>
  <si>
    <t>Install Dell PowerEdge R670, connect power rails, iDRAC, management, storage and VM trunk links.</t>
  </si>
  <si>
    <t>2026-05-08</t>
  </si>
  <si>
    <t>Cabling record</t>
  </si>
  <si>
    <t>Server powered and cabled correctly</t>
  </si>
  <si>
    <t>3.2</t>
  </si>
  <si>
    <t>Install Windows Server 2022 Datacenter</t>
  </si>
  <si>
    <t>Install OS on RAID 1 boot storage and apply baseline configuration.</t>
  </si>
  <si>
    <t>2026-05-09</t>
  </si>
  <si>
    <t>Installed server</t>
  </si>
  <si>
    <t>HV03 boots and is reachable</t>
  </si>
  <si>
    <t>3.3</t>
  </si>
  <si>
    <t>Install roles and features</t>
  </si>
  <si>
    <t>Install Hyper-V and Failover Clustering on HV03.</t>
  </si>
  <si>
    <t>Configured server role</t>
  </si>
  <si>
    <t>Required roles installed</t>
  </si>
  <si>
    <t>3.4</t>
  </si>
  <si>
    <t>Join HV03 to domain</t>
  </si>
  <si>
    <t>Join HV03 to corp.electric-petrol.ie and place in correct OU.</t>
  </si>
  <si>
    <t>Domain-joined host</t>
  </si>
  <si>
    <t>Domain login works</t>
  </si>
  <si>
    <t>4. Shared Storage</t>
  </si>
  <si>
    <t>4.1</t>
  </si>
  <si>
    <t>Configure storage VLAN</t>
  </si>
  <si>
    <t>Validate VLAN 9 and storage switch connectivity for all three hosts.</t>
  </si>
  <si>
    <t>Network Engineer</t>
  </si>
  <si>
    <t>2026-05-10</t>
  </si>
  <si>
    <t>Storage VLAN confirmation</t>
  </si>
  <si>
    <t>All hosts reach storage network</t>
  </si>
  <si>
    <t>4.2</t>
  </si>
  <si>
    <t>Configure shared storage</t>
  </si>
  <si>
    <t>Present shared storage to HV01, HV02 and HV03.</t>
  </si>
  <si>
    <t>Storage Engineer</t>
  </si>
  <si>
    <t>2026-05-11</t>
  </si>
  <si>
    <t>Shared storage target</t>
  </si>
  <si>
    <t>All hosts can see shared storage</t>
  </si>
  <si>
    <t>4.3</t>
  </si>
  <si>
    <t>Configure Cluster Shared Volumes</t>
  </si>
  <si>
    <t>Configure CSVs for Hyper-V virtual machine storage.</t>
  </si>
  <si>
    <t>CSV configuration</t>
  </si>
  <si>
    <t>CSV visible to all cluster nodes</t>
  </si>
  <si>
    <t>5. Cluster Build</t>
  </si>
  <si>
    <t>5.1</t>
  </si>
  <si>
    <t>Run Cluster Validation Wizard</t>
  </si>
  <si>
    <t>Run Microsoft cluster validation before creating or expanding cluster.</t>
  </si>
  <si>
    <t>2026-05-12</t>
  </si>
  <si>
    <t>Validation report</t>
  </si>
  <si>
    <t>Cluster validation passes</t>
  </si>
  <si>
    <t>5.2</t>
  </si>
  <si>
    <t>Create three-node cluster</t>
  </si>
  <si>
    <t>Add HV01, HV02 and HV03 to the Hyper-V Failover Cluster.</t>
  </si>
  <si>
    <t>Three-node cluster</t>
  </si>
  <si>
    <t>All nodes online</t>
  </si>
  <si>
    <t>5.3</t>
  </si>
  <si>
    <t>Configure Live Migration</t>
  </si>
  <si>
    <t>Configure Live Migration network, authentication and host settings.</t>
  </si>
  <si>
    <t>2026-05-13</t>
  </si>
  <si>
    <t>Live Migration config</t>
  </si>
  <si>
    <t>Test VM migrates successfully</t>
  </si>
  <si>
    <t>5.4</t>
  </si>
  <si>
    <t>Make VMs highly available</t>
  </si>
  <si>
    <t>Move branch VMs to CSV and configure as highly available workloads.</t>
  </si>
  <si>
    <t>2026-05-14</t>
  </si>
  <si>
    <t>Highly available VMs</t>
  </si>
  <si>
    <t>Critical VMs visible in Failover Cluster Manager</t>
  </si>
  <si>
    <t>6. AAA and AD</t>
  </si>
  <si>
    <t>6.1</t>
  </si>
  <si>
    <t>Create AD admin groups</t>
  </si>
  <si>
    <t>Create GG-HyperV-Admins, GG-Cluster-Admins, GG-Storage-Admins and support groups.</t>
  </si>
  <si>
    <t>AD Administrator</t>
  </si>
  <si>
    <t>AD groups created</t>
  </si>
  <si>
    <t>Groups visible in AD</t>
  </si>
  <si>
    <t>6.2</t>
  </si>
  <si>
    <t>Apply Group Policy</t>
  </si>
  <si>
    <t>Apply server baseline, Hyper-V host policy, audit policy and WSUS policy.</t>
  </si>
  <si>
    <t>2026-05-15</t>
  </si>
  <si>
    <t>GPOs linked</t>
  </si>
  <si>
    <t>Policies apply correctly</t>
  </si>
  <si>
    <t>6.3</t>
  </si>
  <si>
    <t>Configure RADIUS/NPS</t>
  </si>
  <si>
    <t>Integrate network device administration with AD groups where required.</t>
  </si>
  <si>
    <t>2026-05-16</t>
  </si>
  <si>
    <t>NPS configuration</t>
  </si>
  <si>
    <t>Test admin authentication works</t>
  </si>
  <si>
    <t>7. Monitoring and Backup</t>
  </si>
  <si>
    <t>7.1</t>
  </si>
  <si>
    <t>Add hosts and cluster to monitoring</t>
  </si>
  <si>
    <t>Monitor host health, cluster health, storage, NICs, iDRAC and UPS.</t>
  </si>
  <si>
    <t>Monitoring Engineer</t>
  </si>
  <si>
    <t>Monitoring dashboard</t>
  </si>
  <si>
    <t>Test alert received</t>
  </si>
  <si>
    <t>7.2</t>
  </si>
  <si>
    <t>Update backup jobs</t>
  </si>
  <si>
    <t>Update backup software to protect VMs on shared storage.</t>
  </si>
  <si>
    <t>Backup Administrator</t>
  </si>
  <si>
    <t>2026-05-17</t>
  </si>
  <si>
    <t>Updated backup jobs</t>
  </si>
  <si>
    <t>Backup completes successfully</t>
  </si>
  <si>
    <t>7.3</t>
  </si>
  <si>
    <t>Perform test restore</t>
  </si>
  <si>
    <t>Restore a test VM to confirm backup integrity.</t>
  </si>
  <si>
    <t>Restore evidence</t>
  </si>
  <si>
    <t>VM restores and boots</t>
  </si>
  <si>
    <t>8. Pilot Acceptance</t>
  </si>
  <si>
    <t>8.1</t>
  </si>
  <si>
    <t>Test host failure</t>
  </si>
  <si>
    <t>Simulate one host failure and confirm critical VMs restart on surviving hosts.</t>
  </si>
  <si>
    <t>2026-05-18</t>
  </si>
  <si>
    <t>Failover test result</t>
  </si>
  <si>
    <t>Single host failure tolerated</t>
  </si>
  <si>
    <t>8.2</t>
  </si>
  <si>
    <t>Complete acceptance sign-off</t>
  </si>
  <si>
    <t>Review cluster, backup, monitoring, AD and documentation with operations team.</t>
  </si>
  <si>
    <t>2026-05-19</t>
  </si>
  <si>
    <t>Signed acceptance</t>
  </si>
  <si>
    <t>Pilot branch accepted</t>
  </si>
  <si>
    <t>9. National Rollout</t>
  </si>
  <si>
    <t>9.1</t>
  </si>
  <si>
    <t>Update rollout standard</t>
  </si>
  <si>
    <t>Incorporate pilot lessons into final build standard.</t>
  </si>
  <si>
    <t>2026-05-20</t>
  </si>
  <si>
    <t>Final rollout standard</t>
  </si>
  <si>
    <t>Standard approved</t>
  </si>
  <si>
    <t>9.2</t>
  </si>
  <si>
    <t>Roll out branches in batches</t>
  </si>
  <si>
    <t>Upgrade 3 to 5 branches per batch using approved standard.</t>
  </si>
  <si>
    <t>Project Team</t>
  </si>
  <si>
    <t>2026-05-21</t>
  </si>
  <si>
    <t>2026-07-31</t>
  </si>
  <si>
    <t>Completed branch batches</t>
  </si>
  <si>
    <t>All branches upgraded</t>
  </si>
  <si>
    <t>10. Handover</t>
  </si>
  <si>
    <t>10.1</t>
  </si>
  <si>
    <t>Complete operational handover</t>
  </si>
  <si>
    <t>Provide hostnames, IPs, VLANs, cluster details, storage details, backups and support contracts.</t>
  </si>
  <si>
    <t>2026-08-01</t>
  </si>
  <si>
    <t>2026-08-05</t>
  </si>
  <si>
    <t>Handover pack</t>
  </si>
  <si>
    <t>Operations team accepts support</t>
  </si>
  <si>
    <t>Electric-Petrol.ie A3 Management Implementation Plan</t>
  </si>
  <si>
    <t>Workbook Purpose</t>
  </si>
  <si>
    <t>Track the upgrade from two Hyper-V hosts to a three-node clustered branch design.</t>
  </si>
  <si>
    <t>Total Tasks</t>
  </si>
  <si>
    <t>Complete</t>
  </si>
  <si>
    <t>In Progress</t>
  </si>
  <si>
    <t>Blocked</t>
  </si>
  <si>
    <t>Completion %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</si>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</sst>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9" fontId="3" fillId="4" borderId="0" xfId="0" applyNumberFormat="1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E"/>
              <a:t>Task Status Summary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Summary!$A$4:$A$7</c:f>
              <c:strCache>
                <c:ptCount val="4"/>
                <c:pt idx="0">
                  <c:v>Complete</c:v>
                </c:pt>
                <c:pt idx="1">
                  <c:v>In Progress</c:v>
                </c:pt>
                <c:pt idx="2">
                  <c:v>Blocked</c:v>
                </c:pt>
                <c:pt idx="3">
                  <c:v>Not Started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2-49B7-9B19-C232F579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ementationPlanTable" displayName="ImplementationPlanTable" ref="A1:L30">
  <tableColumns count="12">
    <tableColumn id="1" xr3:uid="{00000000-0010-0000-0000-000001000000}" name="Phase"/>
    <tableColumn id="2" xr3:uid="{00000000-0010-0000-0000-000002000000}" name="Task ID"/>
    <tableColumn id="3" xr3:uid="{00000000-0010-0000-0000-000003000000}" name="Task"/>
    <tableColumn id="4" xr3:uid="{00000000-0010-0000-0000-000004000000}" name="Description"/>
    <tableColumn id="5" xr3:uid="{00000000-0010-0000-0000-000005000000}" name="Owner"/>
    <tableColumn id="6" xr3:uid="{00000000-0010-0000-0000-000006000000}" name="Priority"/>
    <tableColumn id="7" xr3:uid="{00000000-0010-0000-0000-000007000000}" name="Status"/>
    <tableColumn id="8" xr3:uid="{00000000-0010-0000-0000-000008000000}" name="Start Date"/>
    <tableColumn id="9" xr3:uid="{00000000-0010-0000-0000-000009000000}" name="End Date"/>
    <tableColumn id="10" xr3:uid="{00000000-0010-0000-0000-00000A000000}" name="Dependency"/>
    <tableColumn id="11" xr3:uid="{00000000-0010-0000-0000-00000B000000}" name="Deliverable"/>
    <tableColumn id="12" xr3:uid="{00000000-0010-0000-0000-00000C000000}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D11" sqref="D11"/>
    </sheetView>
  </sheetViews>
  <sheetFormatPr defaultRowHeight="14.25"/>
  <cols>
    <col min="1" max="1" width="25.875" customWidth="1"/>
    <col min="2" max="2" width="10" customWidth="1"/>
    <col min="3" max="3" width="28" customWidth="1"/>
    <col min="4" max="4" width="41.875" bestFit="1" customWidth="1"/>
    <col min="5" max="5" width="22" customWidth="1"/>
    <col min="6" max="6" width="12" customWidth="1"/>
    <col min="7" max="7" width="14" customWidth="1"/>
    <col min="8" max="9" width="12" customWidth="1"/>
    <col min="10" max="10" width="14" customWidth="1"/>
    <col min="11" max="11" width="26" customWidth="1"/>
    <col min="12" max="12" width="34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3" t="s">
        <v>20</v>
      </c>
      <c r="J2" s="2" t="s">
        <v>21</v>
      </c>
      <c r="K2" s="2" t="s">
        <v>22</v>
      </c>
      <c r="L2" s="2" t="s">
        <v>23</v>
      </c>
    </row>
    <row r="3" spans="1:12" ht="28.5">
      <c r="A3" s="2" t="s">
        <v>12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17</v>
      </c>
      <c r="G3" s="2" t="s">
        <v>18</v>
      </c>
      <c r="H3" s="3" t="s">
        <v>19</v>
      </c>
      <c r="I3" s="3" t="s">
        <v>20</v>
      </c>
      <c r="J3" s="2" t="s">
        <v>13</v>
      </c>
      <c r="K3" s="2" t="s">
        <v>27</v>
      </c>
      <c r="L3" s="2" t="s">
        <v>28</v>
      </c>
    </row>
    <row r="4" spans="1:12" ht="28.5">
      <c r="A4" s="2" t="s">
        <v>12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17</v>
      </c>
      <c r="G4" s="2" t="s">
        <v>18</v>
      </c>
      <c r="H4" s="3" t="s">
        <v>33</v>
      </c>
      <c r="I4" s="3" t="s">
        <v>34</v>
      </c>
      <c r="J4" s="2" t="s">
        <v>13</v>
      </c>
      <c r="K4" s="2" t="s">
        <v>35</v>
      </c>
      <c r="L4" s="2" t="s">
        <v>36</v>
      </c>
    </row>
    <row r="5" spans="1:12" ht="28.5">
      <c r="A5" s="2" t="s">
        <v>37</v>
      </c>
      <c r="B5" s="2" t="s">
        <v>38</v>
      </c>
      <c r="C5" s="2" t="s">
        <v>39</v>
      </c>
      <c r="D5" s="2" t="s">
        <v>40</v>
      </c>
      <c r="E5" s="2" t="s">
        <v>16</v>
      </c>
      <c r="F5" s="2" t="s">
        <v>17</v>
      </c>
      <c r="G5" s="2" t="s">
        <v>18</v>
      </c>
      <c r="H5" s="3" t="s">
        <v>41</v>
      </c>
      <c r="I5" s="3" t="s">
        <v>42</v>
      </c>
      <c r="J5" s="2" t="s">
        <v>29</v>
      </c>
      <c r="K5" s="2" t="s">
        <v>43</v>
      </c>
      <c r="L5" s="2" t="s">
        <v>44</v>
      </c>
    </row>
    <row r="6" spans="1:12" ht="28.5">
      <c r="A6" s="2" t="s">
        <v>37</v>
      </c>
      <c r="B6" s="2" t="s">
        <v>45</v>
      </c>
      <c r="C6" s="2" t="s">
        <v>46</v>
      </c>
      <c r="D6" s="2" t="s">
        <v>47</v>
      </c>
      <c r="E6" s="2" t="s">
        <v>16</v>
      </c>
      <c r="F6" s="2" t="s">
        <v>17</v>
      </c>
      <c r="G6" s="2" t="s">
        <v>18</v>
      </c>
      <c r="H6" s="3" t="s">
        <v>42</v>
      </c>
      <c r="I6" s="3" t="s">
        <v>42</v>
      </c>
      <c r="J6" s="2" t="s">
        <v>38</v>
      </c>
      <c r="K6" s="2" t="s">
        <v>48</v>
      </c>
      <c r="L6" s="2" t="s">
        <v>49</v>
      </c>
    </row>
    <row r="7" spans="1:12" ht="28.5">
      <c r="A7" s="2" t="s">
        <v>37</v>
      </c>
      <c r="B7" s="2" t="s">
        <v>50</v>
      </c>
      <c r="C7" s="2" t="s">
        <v>51</v>
      </c>
      <c r="D7" s="2" t="s">
        <v>52</v>
      </c>
      <c r="E7" s="2" t="s">
        <v>16</v>
      </c>
      <c r="F7" s="2" t="s">
        <v>17</v>
      </c>
      <c r="G7" s="2" t="s">
        <v>18</v>
      </c>
      <c r="H7" s="3" t="s">
        <v>53</v>
      </c>
      <c r="I7" s="3" t="s">
        <v>53</v>
      </c>
      <c r="J7" s="2" t="s">
        <v>45</v>
      </c>
      <c r="K7" s="2" t="s">
        <v>54</v>
      </c>
      <c r="L7" s="2" t="s">
        <v>55</v>
      </c>
    </row>
    <row r="8" spans="1:12" ht="28.5">
      <c r="A8" s="2" t="s">
        <v>37</v>
      </c>
      <c r="B8" s="2" t="s">
        <v>56</v>
      </c>
      <c r="C8" s="2" t="s">
        <v>57</v>
      </c>
      <c r="D8" s="2" t="s">
        <v>58</v>
      </c>
      <c r="E8" s="2" t="s">
        <v>16</v>
      </c>
      <c r="F8" s="2" t="s">
        <v>59</v>
      </c>
      <c r="G8" s="2" t="s">
        <v>18</v>
      </c>
      <c r="H8" s="3" t="s">
        <v>53</v>
      </c>
      <c r="I8" s="3" t="s">
        <v>53</v>
      </c>
      <c r="J8" s="2" t="s">
        <v>45</v>
      </c>
      <c r="K8" s="2" t="s">
        <v>60</v>
      </c>
      <c r="L8" s="2" t="s">
        <v>61</v>
      </c>
    </row>
    <row r="9" spans="1:12" ht="42.75">
      <c r="A9" s="2" t="s">
        <v>62</v>
      </c>
      <c r="B9" s="2" t="s">
        <v>63</v>
      </c>
      <c r="C9" s="2" t="s">
        <v>64</v>
      </c>
      <c r="D9" s="2" t="s">
        <v>65</v>
      </c>
      <c r="E9" s="2" t="s">
        <v>16</v>
      </c>
      <c r="F9" s="2" t="s">
        <v>17</v>
      </c>
      <c r="G9" s="2" t="s">
        <v>18</v>
      </c>
      <c r="H9" s="3" t="s">
        <v>66</v>
      </c>
      <c r="I9" s="3" t="s">
        <v>66</v>
      </c>
      <c r="J9" s="2" t="s">
        <v>29</v>
      </c>
      <c r="K9" s="2" t="s">
        <v>67</v>
      </c>
      <c r="L9" s="2" t="s">
        <v>68</v>
      </c>
    </row>
    <row r="10" spans="1:12" ht="28.5">
      <c r="A10" s="2" t="s">
        <v>62</v>
      </c>
      <c r="B10" s="2" t="s">
        <v>69</v>
      </c>
      <c r="C10" s="2" t="s">
        <v>70</v>
      </c>
      <c r="D10" s="2" t="s">
        <v>71</v>
      </c>
      <c r="E10" s="2" t="s">
        <v>16</v>
      </c>
      <c r="F10" s="2" t="s">
        <v>17</v>
      </c>
      <c r="G10" s="2" t="s">
        <v>18</v>
      </c>
      <c r="H10" s="3" t="s">
        <v>66</v>
      </c>
      <c r="I10" s="3" t="s">
        <v>72</v>
      </c>
      <c r="J10" s="2" t="s">
        <v>63</v>
      </c>
      <c r="K10" s="2" t="s">
        <v>73</v>
      </c>
      <c r="L10" s="2" t="s">
        <v>74</v>
      </c>
    </row>
    <row r="11" spans="1:12" ht="28.5">
      <c r="A11" s="2" t="s">
        <v>62</v>
      </c>
      <c r="B11" s="2" t="s">
        <v>75</v>
      </c>
      <c r="C11" s="2" t="s">
        <v>76</v>
      </c>
      <c r="D11" s="2" t="s">
        <v>77</v>
      </c>
      <c r="E11" s="2" t="s">
        <v>16</v>
      </c>
      <c r="F11" s="2" t="s">
        <v>17</v>
      </c>
      <c r="G11" s="2" t="s">
        <v>18</v>
      </c>
      <c r="H11" s="3" t="s">
        <v>72</v>
      </c>
      <c r="I11" s="3" t="s">
        <v>72</v>
      </c>
      <c r="J11" s="2" t="s">
        <v>69</v>
      </c>
      <c r="K11" s="2" t="s">
        <v>78</v>
      </c>
      <c r="L11" s="2" t="s">
        <v>79</v>
      </c>
    </row>
    <row r="12" spans="1:12" ht="28.5">
      <c r="A12" s="2" t="s">
        <v>62</v>
      </c>
      <c r="B12" s="2" t="s">
        <v>80</v>
      </c>
      <c r="C12" s="2" t="s">
        <v>81</v>
      </c>
      <c r="D12" s="2" t="s">
        <v>82</v>
      </c>
      <c r="E12" s="2" t="s">
        <v>16</v>
      </c>
      <c r="F12" s="2" t="s">
        <v>17</v>
      </c>
      <c r="G12" s="2" t="s">
        <v>18</v>
      </c>
      <c r="H12" s="3" t="s">
        <v>72</v>
      </c>
      <c r="I12" s="3" t="s">
        <v>72</v>
      </c>
      <c r="J12" s="2" t="s">
        <v>69</v>
      </c>
      <c r="K12" s="2" t="s">
        <v>83</v>
      </c>
      <c r="L12" s="2" t="s">
        <v>84</v>
      </c>
    </row>
    <row r="13" spans="1:12" ht="28.5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17</v>
      </c>
      <c r="G13" s="2" t="s">
        <v>18</v>
      </c>
      <c r="H13" s="3" t="s">
        <v>90</v>
      </c>
      <c r="I13" s="3" t="s">
        <v>90</v>
      </c>
      <c r="J13" s="2" t="s">
        <v>80</v>
      </c>
      <c r="K13" s="2" t="s">
        <v>91</v>
      </c>
      <c r="L13" s="2" t="s">
        <v>92</v>
      </c>
    </row>
    <row r="14" spans="1:12" ht="28.5">
      <c r="A14" s="2" t="s">
        <v>85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17</v>
      </c>
      <c r="G14" s="2" t="s">
        <v>18</v>
      </c>
      <c r="H14" s="3" t="s">
        <v>90</v>
      </c>
      <c r="I14" s="3" t="s">
        <v>97</v>
      </c>
      <c r="J14" s="2" t="s">
        <v>86</v>
      </c>
      <c r="K14" s="2" t="s">
        <v>98</v>
      </c>
      <c r="L14" s="2" t="s">
        <v>99</v>
      </c>
    </row>
    <row r="15" spans="1:12" ht="28.5">
      <c r="A15" s="2" t="s">
        <v>85</v>
      </c>
      <c r="B15" s="2" t="s">
        <v>100</v>
      </c>
      <c r="C15" s="2" t="s">
        <v>101</v>
      </c>
      <c r="D15" s="2" t="s">
        <v>102</v>
      </c>
      <c r="E15" s="2" t="s">
        <v>16</v>
      </c>
      <c r="F15" s="2" t="s">
        <v>17</v>
      </c>
      <c r="G15" s="2" t="s">
        <v>18</v>
      </c>
      <c r="H15" s="3" t="s">
        <v>97</v>
      </c>
      <c r="I15" s="3" t="s">
        <v>97</v>
      </c>
      <c r="J15" s="2" t="s">
        <v>93</v>
      </c>
      <c r="K15" s="2" t="s">
        <v>103</v>
      </c>
      <c r="L15" s="2" t="s">
        <v>104</v>
      </c>
    </row>
    <row r="16" spans="1:12" ht="28.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16</v>
      </c>
      <c r="F16" s="2" t="s">
        <v>17</v>
      </c>
      <c r="G16" s="2" t="s">
        <v>18</v>
      </c>
      <c r="H16" s="3" t="s">
        <v>109</v>
      </c>
      <c r="I16" s="3" t="s">
        <v>109</v>
      </c>
      <c r="J16" s="2" t="s">
        <v>100</v>
      </c>
      <c r="K16" s="2" t="s">
        <v>110</v>
      </c>
      <c r="L16" s="2" t="s">
        <v>111</v>
      </c>
    </row>
    <row r="17" spans="1:12" ht="28.5">
      <c r="A17" s="2" t="s">
        <v>105</v>
      </c>
      <c r="B17" s="2" t="s">
        <v>112</v>
      </c>
      <c r="C17" s="2" t="s">
        <v>113</v>
      </c>
      <c r="D17" s="2" t="s">
        <v>114</v>
      </c>
      <c r="E17" s="2" t="s">
        <v>16</v>
      </c>
      <c r="F17" s="2" t="s">
        <v>17</v>
      </c>
      <c r="G17" s="2" t="s">
        <v>18</v>
      </c>
      <c r="H17" s="3" t="s">
        <v>109</v>
      </c>
      <c r="I17" s="3" t="s">
        <v>109</v>
      </c>
      <c r="J17" s="2" t="s">
        <v>106</v>
      </c>
      <c r="K17" s="2" t="s">
        <v>115</v>
      </c>
      <c r="L17" s="2" t="s">
        <v>116</v>
      </c>
    </row>
    <row r="18" spans="1:12" ht="28.5">
      <c r="A18" s="2" t="s">
        <v>105</v>
      </c>
      <c r="B18" s="2" t="s">
        <v>117</v>
      </c>
      <c r="C18" s="2" t="s">
        <v>118</v>
      </c>
      <c r="D18" s="2" t="s">
        <v>119</v>
      </c>
      <c r="E18" s="2" t="s">
        <v>16</v>
      </c>
      <c r="F18" s="2" t="s">
        <v>17</v>
      </c>
      <c r="G18" s="2" t="s">
        <v>18</v>
      </c>
      <c r="H18" s="3" t="s">
        <v>120</v>
      </c>
      <c r="I18" s="3" t="s">
        <v>120</v>
      </c>
      <c r="J18" s="2" t="s">
        <v>112</v>
      </c>
      <c r="K18" s="2" t="s">
        <v>121</v>
      </c>
      <c r="L18" s="2" t="s">
        <v>122</v>
      </c>
    </row>
    <row r="19" spans="1:12" ht="28.5">
      <c r="A19" s="2" t="s">
        <v>105</v>
      </c>
      <c r="B19" s="2" t="s">
        <v>123</v>
      </c>
      <c r="C19" s="2" t="s">
        <v>124</v>
      </c>
      <c r="D19" s="2" t="s">
        <v>125</v>
      </c>
      <c r="E19" s="2" t="s">
        <v>16</v>
      </c>
      <c r="F19" s="2" t="s">
        <v>17</v>
      </c>
      <c r="G19" s="2" t="s">
        <v>18</v>
      </c>
      <c r="H19" s="3" t="s">
        <v>120</v>
      </c>
      <c r="I19" s="3" t="s">
        <v>126</v>
      </c>
      <c r="J19" s="2" t="s">
        <v>112</v>
      </c>
      <c r="K19" s="2" t="s">
        <v>127</v>
      </c>
      <c r="L19" s="2" t="s">
        <v>128</v>
      </c>
    </row>
    <row r="20" spans="1:12" ht="28.5">
      <c r="A20" s="2" t="s">
        <v>129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17</v>
      </c>
      <c r="G20" s="2" t="s">
        <v>18</v>
      </c>
      <c r="H20" s="3" t="s">
        <v>126</v>
      </c>
      <c r="I20" s="3" t="s">
        <v>126</v>
      </c>
      <c r="J20" s="2" t="s">
        <v>80</v>
      </c>
      <c r="K20" s="2" t="s">
        <v>134</v>
      </c>
      <c r="L20" s="2" t="s">
        <v>135</v>
      </c>
    </row>
    <row r="21" spans="1:12" ht="28.5">
      <c r="A21" s="2" t="s">
        <v>129</v>
      </c>
      <c r="B21" s="2" t="s">
        <v>136</v>
      </c>
      <c r="C21" s="2" t="s">
        <v>137</v>
      </c>
      <c r="D21" s="2" t="s">
        <v>138</v>
      </c>
      <c r="E21" s="2" t="s">
        <v>133</v>
      </c>
      <c r="F21" s="2" t="s">
        <v>17</v>
      </c>
      <c r="G21" s="2" t="s">
        <v>18</v>
      </c>
      <c r="H21" s="3" t="s">
        <v>139</v>
      </c>
      <c r="I21" s="3" t="s">
        <v>139</v>
      </c>
      <c r="J21" s="2" t="s">
        <v>130</v>
      </c>
      <c r="K21" s="2" t="s">
        <v>140</v>
      </c>
      <c r="L21" s="2" t="s">
        <v>141</v>
      </c>
    </row>
    <row r="22" spans="1:12" ht="28.5">
      <c r="A22" s="2" t="s">
        <v>129</v>
      </c>
      <c r="B22" s="2" t="s">
        <v>142</v>
      </c>
      <c r="C22" s="2" t="s">
        <v>143</v>
      </c>
      <c r="D22" s="2" t="s">
        <v>144</v>
      </c>
      <c r="E22" s="2" t="s">
        <v>89</v>
      </c>
      <c r="F22" s="2" t="s">
        <v>59</v>
      </c>
      <c r="G22" s="2" t="s">
        <v>18</v>
      </c>
      <c r="H22" s="3" t="s">
        <v>139</v>
      </c>
      <c r="I22" s="3" t="s">
        <v>145</v>
      </c>
      <c r="J22" s="2" t="s">
        <v>130</v>
      </c>
      <c r="K22" s="2" t="s">
        <v>146</v>
      </c>
      <c r="L22" s="2" t="s">
        <v>147</v>
      </c>
    </row>
    <row r="23" spans="1:12" ht="28.5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17</v>
      </c>
      <c r="G23" s="2" t="s">
        <v>18</v>
      </c>
      <c r="H23" s="3" t="s">
        <v>145</v>
      </c>
      <c r="I23" s="3" t="s">
        <v>145</v>
      </c>
      <c r="J23" s="2" t="s">
        <v>112</v>
      </c>
      <c r="K23" s="2" t="s">
        <v>153</v>
      </c>
      <c r="L23" s="2" t="s">
        <v>154</v>
      </c>
    </row>
    <row r="24" spans="1:12" ht="28.5">
      <c r="A24" s="2" t="s">
        <v>148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17</v>
      </c>
      <c r="G24" s="2" t="s">
        <v>18</v>
      </c>
      <c r="H24" s="3" t="s">
        <v>145</v>
      </c>
      <c r="I24" s="3" t="s">
        <v>159</v>
      </c>
      <c r="J24" s="2" t="s">
        <v>123</v>
      </c>
      <c r="K24" s="2" t="s">
        <v>160</v>
      </c>
      <c r="L24" s="2" t="s">
        <v>161</v>
      </c>
    </row>
    <row r="25" spans="1:12" ht="28.5">
      <c r="A25" s="2" t="s">
        <v>148</v>
      </c>
      <c r="B25" s="2" t="s">
        <v>162</v>
      </c>
      <c r="C25" s="2" t="s">
        <v>163</v>
      </c>
      <c r="D25" s="2" t="s">
        <v>164</v>
      </c>
      <c r="E25" s="2" t="s">
        <v>158</v>
      </c>
      <c r="F25" s="2" t="s">
        <v>17</v>
      </c>
      <c r="G25" s="2" t="s">
        <v>18</v>
      </c>
      <c r="H25" s="3" t="s">
        <v>159</v>
      </c>
      <c r="I25" s="3" t="s">
        <v>159</v>
      </c>
      <c r="J25" s="2" t="s">
        <v>155</v>
      </c>
      <c r="K25" s="2" t="s">
        <v>165</v>
      </c>
      <c r="L25" s="2" t="s">
        <v>166</v>
      </c>
    </row>
    <row r="26" spans="1:12" ht="28.5">
      <c r="A26" s="2" t="s">
        <v>167</v>
      </c>
      <c r="B26" s="2" t="s">
        <v>168</v>
      </c>
      <c r="C26" s="2" t="s">
        <v>169</v>
      </c>
      <c r="D26" s="2" t="s">
        <v>170</v>
      </c>
      <c r="E26" s="2" t="s">
        <v>16</v>
      </c>
      <c r="F26" s="2" t="s">
        <v>17</v>
      </c>
      <c r="G26" s="2" t="s">
        <v>18</v>
      </c>
      <c r="H26" s="3" t="s">
        <v>171</v>
      </c>
      <c r="I26" s="3" t="s">
        <v>171</v>
      </c>
      <c r="J26" s="2" t="s">
        <v>123</v>
      </c>
      <c r="K26" s="2" t="s">
        <v>172</v>
      </c>
      <c r="L26" s="2" t="s">
        <v>173</v>
      </c>
    </row>
    <row r="27" spans="1:12" ht="28.5">
      <c r="A27" s="2" t="s">
        <v>167</v>
      </c>
      <c r="B27" s="2" t="s">
        <v>174</v>
      </c>
      <c r="C27" s="2" t="s">
        <v>175</v>
      </c>
      <c r="D27" s="2" t="s">
        <v>176</v>
      </c>
      <c r="E27" s="2" t="s">
        <v>32</v>
      </c>
      <c r="F27" s="2" t="s">
        <v>17</v>
      </c>
      <c r="G27" s="2" t="s">
        <v>18</v>
      </c>
      <c r="H27" s="3" t="s">
        <v>177</v>
      </c>
      <c r="I27" s="3" t="s">
        <v>177</v>
      </c>
      <c r="J27" s="2" t="s">
        <v>168</v>
      </c>
      <c r="K27" s="2" t="s">
        <v>178</v>
      </c>
      <c r="L27" s="2" t="s">
        <v>179</v>
      </c>
    </row>
    <row r="28" spans="1:12">
      <c r="A28" s="2" t="s">
        <v>180</v>
      </c>
      <c r="B28" s="2" t="s">
        <v>181</v>
      </c>
      <c r="C28" s="2" t="s">
        <v>182</v>
      </c>
      <c r="D28" s="2" t="s">
        <v>183</v>
      </c>
      <c r="E28" s="2" t="s">
        <v>32</v>
      </c>
      <c r="F28" s="2" t="s">
        <v>17</v>
      </c>
      <c r="G28" s="2" t="s">
        <v>18</v>
      </c>
      <c r="H28" s="3" t="s">
        <v>184</v>
      </c>
      <c r="I28" s="3" t="s">
        <v>184</v>
      </c>
      <c r="J28" s="2" t="s">
        <v>174</v>
      </c>
      <c r="K28" s="2" t="s">
        <v>185</v>
      </c>
      <c r="L28" s="2" t="s">
        <v>186</v>
      </c>
    </row>
    <row r="29" spans="1:12" ht="28.5">
      <c r="A29" s="2" t="s">
        <v>180</v>
      </c>
      <c r="B29" s="2" t="s">
        <v>187</v>
      </c>
      <c r="C29" s="2" t="s">
        <v>188</v>
      </c>
      <c r="D29" s="2" t="s">
        <v>189</v>
      </c>
      <c r="E29" s="2" t="s">
        <v>190</v>
      </c>
      <c r="F29" s="2" t="s">
        <v>17</v>
      </c>
      <c r="G29" s="2" t="s">
        <v>18</v>
      </c>
      <c r="H29" s="3" t="s">
        <v>191</v>
      </c>
      <c r="I29" s="3" t="s">
        <v>192</v>
      </c>
      <c r="J29" s="2" t="s">
        <v>181</v>
      </c>
      <c r="K29" s="2" t="s">
        <v>193</v>
      </c>
      <c r="L29" s="2" t="s">
        <v>194</v>
      </c>
    </row>
    <row r="30" spans="1:12" ht="28.5">
      <c r="A30" s="2" t="s">
        <v>195</v>
      </c>
      <c r="B30" s="2" t="s">
        <v>196</v>
      </c>
      <c r="C30" s="2" t="s">
        <v>197</v>
      </c>
      <c r="D30" s="2" t="s">
        <v>198</v>
      </c>
      <c r="E30" s="2" t="s">
        <v>32</v>
      </c>
      <c r="F30" s="2" t="s">
        <v>17</v>
      </c>
      <c r="G30" s="2" t="s">
        <v>18</v>
      </c>
      <c r="H30" s="3" t="s">
        <v>199</v>
      </c>
      <c r="I30" s="3" t="s">
        <v>200</v>
      </c>
      <c r="J30" s="2" t="s">
        <v>187</v>
      </c>
      <c r="K30" s="2" t="s">
        <v>201</v>
      </c>
      <c r="L30" s="2" t="s">
        <v>202</v>
      </c>
    </row>
  </sheetData>
  <conditionalFormatting sqref="G2:G30">
    <cfRule type="expression" dxfId="2" priority="1">
      <formula>G2="Complete"</formula>
    </cfRule>
    <cfRule type="expression" dxfId="1" priority="2">
      <formula>G2="Blocked"</formula>
    </cfRule>
    <cfRule type="expression" dxfId="0" priority="3">
      <formula>G2="In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Lists!$B$2:$B$4</xm:f>
          </x14:formula1>
          <xm:sqref>F2:F30</xm:sqref>
        </x14:dataValidation>
        <x14:dataValidation type="list" xr:uid="{00000000-0002-0000-0000-000001000000}">
          <x14:formula1>
            <xm:f>Lists!$A$2:$A$5</xm:f>
          </x14:formula1>
          <xm:sqref>G2:G30</xm:sqref>
        </x14:dataValidation>
        <x14:dataValidation type="list" xr:uid="{00000000-0002-0000-0000-000002000000}">
          <x14:formula1>
            <xm:f>Lists!$C$2:$C$9</xm:f>
          </x14:formula1>
          <xm:sqref>E2:E30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26" sqref="B26"/>
    </sheetView>
  </sheetViews>
  <sheetFormatPr defaultRowHeight="14.25"/>
  <cols>
    <col min="1" max="1" width="24" customWidth="1"/>
    <col min="2" max="2" width="70" customWidth="1"/>
  </cols>
  <sheetData>
    <row r="1" spans="1:4" ht="27.95" customHeight="1">
      <c r="A1" s="6" t="s">
        <v>203</v>
      </c>
      <c r="B1" s="7"/>
      <c r="C1" s="7"/>
      <c r="D1" s="7"/>
    </row>
    <row r="2" spans="1:4" ht="28.5">
      <c r="A2" s="2" t="s">
        <v>204</v>
      </c>
      <c r="B2" s="2" t="s">
        <v>205</v>
      </c>
      <c r="C2" s="2"/>
      <c r="D2" s="2"/>
    </row>
    <row r="3" spans="1:4" ht="15">
      <c r="A3" s="4" t="s">
        <v>206</v>
      </c>
      <c r="B3" s="4">
        <f>COUNTA('Implementation Plan'!B2:B30)</f>
        <v>29</v>
      </c>
      <c r="C3" s="2"/>
      <c r="D3" s="2"/>
    </row>
    <row r="4" spans="1:4" ht="15">
      <c r="A4" s="4" t="s">
        <v>207</v>
      </c>
      <c r="B4" s="4">
        <f>COUNTIF('Implementation Plan'!G2:G30,"Complete")</f>
        <v>0</v>
      </c>
      <c r="C4" s="2"/>
      <c r="D4" s="2"/>
    </row>
    <row r="5" spans="1:4" ht="15">
      <c r="A5" s="4" t="s">
        <v>208</v>
      </c>
      <c r="B5" s="4">
        <f>COUNTIF('Implementation Plan'!G2:G30,"In Progress")</f>
        <v>0</v>
      </c>
      <c r="C5" s="2"/>
      <c r="D5" s="2"/>
    </row>
    <row r="6" spans="1:4" ht="15">
      <c r="A6" s="4" t="s">
        <v>209</v>
      </c>
      <c r="B6" s="4">
        <f>COUNTIF('Implementation Plan'!G2:G30,"Blocked")</f>
        <v>0</v>
      </c>
      <c r="C6" s="2"/>
      <c r="D6" s="2"/>
    </row>
    <row r="7" spans="1:4" ht="15">
      <c r="A7" s="4" t="s">
        <v>18</v>
      </c>
      <c r="B7" s="4">
        <f>COUNTIF('Implementation Plan'!G2:G30,"Not Started")</f>
        <v>29</v>
      </c>
      <c r="C7" s="2"/>
      <c r="D7" s="2"/>
    </row>
    <row r="8" spans="1:4" ht="15">
      <c r="A8" s="4" t="s">
        <v>210</v>
      </c>
      <c r="B8" s="5">
        <f>IF(B3=0,0,B4/B3)</f>
        <v>0</v>
      </c>
      <c r="C8" s="2"/>
      <c r="D8" s="2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5" sqref="C15"/>
    </sheetView>
  </sheetViews>
  <sheetFormatPr defaultRowHeight="14.25"/>
  <cols>
    <col min="1" max="1" width="10.25" bestFit="1" customWidth="1"/>
    <col min="2" max="2" width="7.25" bestFit="1" customWidth="1"/>
    <col min="3" max="3" width="19.625" bestFit="1" customWidth="1"/>
  </cols>
  <sheetData>
    <row r="1" spans="1:3" ht="30">
      <c r="A1" s="1" t="s">
        <v>6</v>
      </c>
      <c r="B1" s="1" t="s">
        <v>5</v>
      </c>
      <c r="C1" s="1" t="s">
        <v>4</v>
      </c>
    </row>
    <row r="2" spans="1:3">
      <c r="A2" t="s">
        <v>18</v>
      </c>
      <c r="B2" t="s">
        <v>17</v>
      </c>
      <c r="C2" t="s">
        <v>32</v>
      </c>
    </row>
    <row r="3" spans="1:3">
      <c r="A3" t="s">
        <v>208</v>
      </c>
      <c r="B3" t="s">
        <v>59</v>
      </c>
      <c r="C3" t="s">
        <v>16</v>
      </c>
    </row>
    <row r="4" spans="1:3">
      <c r="A4" t="s">
        <v>209</v>
      </c>
      <c r="B4" t="s">
        <v>211</v>
      </c>
      <c r="C4" t="s">
        <v>89</v>
      </c>
    </row>
    <row r="5" spans="1:3">
      <c r="A5" t="s">
        <v>207</v>
      </c>
      <c r="C5" t="s">
        <v>96</v>
      </c>
    </row>
    <row r="6" spans="1:3">
      <c r="C6" t="s">
        <v>133</v>
      </c>
    </row>
    <row r="7" spans="1:3">
      <c r="C7" t="s">
        <v>158</v>
      </c>
    </row>
    <row r="8" spans="1:3">
      <c r="C8" t="s">
        <v>152</v>
      </c>
    </row>
    <row r="9" spans="1:3">
      <c r="C9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59bb92-ea8f-49ef-a896-8ea45a607e88}" enabled="1" method="Privileged" siteId="{47855545-00bb-4800-a65f-e79104ec0f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Plan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Saunders</cp:lastModifiedBy>
  <dcterms:modified xsi:type="dcterms:W3CDTF">2026-06-05T08:32:54Z</dcterms:modified>
</cp:coreProperties>
</file>