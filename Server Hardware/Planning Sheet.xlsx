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tlantictu-my.sharepoint.com/personal/l00187849_atu_ie/Documents/L00187849/L00187849/Hybrid Cloud/CA1/"/>
    </mc:Choice>
  </mc:AlternateContent>
  <xr:revisionPtr revIDLastSave="0" documentId="8_{C31AF04A-6FB6-4175-87F3-AD9C569F4F28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Rack Planning Sheet" sheetId="1" r:id="rId1"/>
  </sheets>
  <definedNames>
    <definedName name="RU">'Rack Planning Sheet'!$I$1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1" l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E4" i="1"/>
  <c r="C4" i="1"/>
</calcChain>
</file>

<file path=xl/sharedStrings.xml><?xml version="1.0" encoding="utf-8"?>
<sst xmlns="http://schemas.openxmlformats.org/spreadsheetml/2006/main" count="102" uniqueCount="49">
  <si>
    <t>42U Rack Planning Sheet – Private Cloud Server Hardware</t>
  </si>
  <si>
    <t>RU Height (cm)</t>
  </si>
  <si>
    <t>Height (cm)</t>
  </si>
  <si>
    <t>Rack Unit</t>
  </si>
  <si>
    <t>PDU A Watts</t>
  </si>
  <si>
    <t>Equipment / Position</t>
  </si>
  <si>
    <t>PDU B Watts</t>
  </si>
  <si>
    <t>Cables / Notes</t>
  </si>
  <si>
    <t>Totals</t>
  </si>
  <si>
    <t>Estimated power load per PDU</t>
  </si>
  <si>
    <t>PDU A</t>
  </si>
  <si>
    <t>PDU B</t>
  </si>
  <si>
    <t>Cable Management / Patch Panel</t>
  </si>
  <si>
    <t>Structured cable presentation for switch uplinks and management runs</t>
  </si>
  <si>
    <t>Top of Rack Switch 1</t>
  </si>
  <si>
    <t>2 × C15 power cables; SFP28 / DAC uplinks as required</t>
  </si>
  <si>
    <t>Cable Management</t>
  </si>
  <si>
    <t>1U cable tidy</t>
  </si>
  <si>
    <t>Top of Rack Switch 2</t>
  </si>
  <si>
    <t>2 × C15 power cables; redundant VM/storage switching</t>
  </si>
  <si>
    <t>Management Switch</t>
  </si>
  <si>
    <t>2 × C15 power cables; RJ45 CAT6 management/iDRAC</t>
  </si>
  <si>
    <t>Blank Panel / Airflow</t>
  </si>
  <si>
    <t>Maintains front-to-back airflow</t>
  </si>
  <si>
    <t>Host Server 1 – Dell PowerEdge R670</t>
  </si>
  <si>
    <t>2 × C14 power cables; 2 × management; 2 × VM trunk; 2 × storage; 1 × iDRAC</t>
  </si>
  <si>
    <t>Host Server 1 continued / 2U space</t>
  </si>
  <si>
    <t>Server chassis space</t>
  </si>
  <si>
    <t>Airflow gap</t>
  </si>
  <si>
    <t>Host Server 2 – Dell PowerEdge R670</t>
  </si>
  <si>
    <t>Host Server 2 continued / 2U space</t>
  </si>
  <si>
    <t>KVM Monitor &amp; Keyboard</t>
  </si>
  <si>
    <t>1 × C14 power cable; local maintenance only</t>
  </si>
  <si>
    <t>KVM Drawer continued / 2U space</t>
  </si>
  <si>
    <t>KVM space</t>
  </si>
  <si>
    <t>Blank Panel / Future Expansion</t>
  </si>
  <si>
    <t>Reserved</t>
  </si>
  <si>
    <t>PDU A – 16A 230V</t>
  </si>
  <si>
    <t>Left/rear rack power distribution</t>
  </si>
  <si>
    <t>PDU B – 16A 230V</t>
  </si>
  <si>
    <t>Right/rear rack power distribution</t>
  </si>
  <si>
    <t>UPS / Power Protection</t>
  </si>
  <si>
    <t>Heavy equipment placed at bottom of rack</t>
  </si>
  <si>
    <t>Rack Planning Notes</t>
  </si>
  <si>
    <t>• Rack size shown as 42U. Servers are shown as 2U each with airflow gaps/blanking panels included.</t>
  </si>
  <si>
    <t>• Network switches are placed near the top of rack for cleaner patching and easier cable management.</t>
  </si>
  <si>
    <t>• Power equipment is placed low in the rack for weight distribution and safety.</t>
  </si>
  <si>
    <t>• Each server uses dual redundant power: one PSU to PDU A and one PSU to PDU B.</t>
  </si>
  <si>
    <t>• VM workload links should be trunk/tagged links. iDRAC/BMC management should be isolated from normal user traffic.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</si>
</sst>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\ &quot;W&quot;"/>
    <numFmt numFmtId="166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rgb="FF666666"/>
      <name val="Calibri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FFEAF4FB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164" fontId="0" fillId="0" borderId="0" xfId="0" applyNumberFormat="1"/>
    <xf numFmtId="0" fontId="3" fillId="2" borderId="1" xfId="0" applyFont="1" applyFill="1" applyBorder="1" applyAlignment="1">
      <alignment horizontal="center" wrapText="1"/>
    </xf>
    <xf numFmtId="0" fontId="4" fillId="3" borderId="0" xfId="0" applyFont="1" applyFill="1" applyAlignment="1">
      <alignment horizontal="center" wrapText="1"/>
    </xf>
    <xf numFmtId="165" fontId="4" fillId="3" borderId="0" xfId="0" applyNumberFormat="1" applyFont="1" applyFill="1" applyAlignment="1">
      <alignment horizontal="center" wrapText="1"/>
    </xf>
    <xf numFmtId="0" fontId="4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66" fontId="0" fillId="4" borderId="2" xfId="0" applyNumberFormat="1" applyFill="1" applyBorder="1" applyAlignment="1">
      <alignment horizontal="center" vertical="center" wrapText="1"/>
    </xf>
    <xf numFmtId="165" fontId="0" fillId="4" borderId="2" xfId="0" applyNumberFormat="1" applyFill="1" applyBorder="1" applyAlignment="1">
      <alignment horizontal="center" vertical="center" wrapText="1"/>
    </xf>
    <xf numFmtId="166" fontId="0" fillId="5" borderId="2" xfId="0" applyNumberFormat="1" applyFill="1" applyBorder="1" applyAlignment="1">
      <alignment horizontal="center" vertical="center" wrapText="1"/>
    </xf>
    <xf numFmtId="165" fontId="0" fillId="5" borderId="2" xfId="0" applyNumberFormat="1" applyFill="1" applyBorder="1" applyAlignment="1">
      <alignment horizontal="center" vertical="center" wrapText="1"/>
    </xf>
    <xf numFmtId="166" fontId="0" fillId="6" borderId="2" xfId="0" applyNumberFormat="1" applyFill="1" applyBorder="1" applyAlignment="1">
      <alignment horizontal="center" vertical="center" wrapText="1"/>
    </xf>
    <xf numFmtId="165" fontId="0" fillId="6" borderId="2" xfId="0" applyNumberFormat="1" applyFill="1" applyBorder="1" applyAlignment="1">
      <alignment horizontal="center" vertical="center" wrapText="1"/>
    </xf>
    <xf numFmtId="166" fontId="0" fillId="3" borderId="2" xfId="0" applyNumberFormat="1" applyFill="1" applyBorder="1" applyAlignment="1">
      <alignment horizontal="center" vertical="center" wrapText="1"/>
    </xf>
    <xf numFmtId="165" fontId="0" fillId="3" borderId="2" xfId="0" applyNumberFormat="1" applyFill="1" applyBorder="1" applyAlignment="1">
      <alignment horizontal="center" vertical="center" wrapText="1"/>
    </xf>
    <xf numFmtId="166" fontId="0" fillId="7" borderId="2" xfId="0" applyNumberFormat="1" applyFill="1" applyBorder="1" applyAlignment="1">
      <alignment horizontal="center" vertical="center" wrapText="1"/>
    </xf>
    <xf numFmtId="165" fontId="0" fillId="7" borderId="2" xfId="0" applyNumberForma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55"/>
  <sheetViews>
    <sheetView showGridLines="0" tabSelected="1" workbookViewId="0">
      <pane ySplit="5" topLeftCell="A6" activePane="bottomLeft" state="frozen"/>
      <selection pane="bottomLeft" activeCell="N13" sqref="N13"/>
    </sheetView>
  </sheetViews>
  <sheetFormatPr defaultRowHeight="15" x14ac:dyDescent="0.25"/>
  <cols>
    <col min="1" max="1" width="11.28515625" style="8" bestFit="1" customWidth="1"/>
    <col min="2" max="2" width="9.28515625" style="8" bestFit="1" customWidth="1"/>
    <col min="3" max="3" width="12.28515625" style="8" bestFit="1" customWidth="1"/>
    <col min="4" max="4" width="33.85546875" style="8" bestFit="1" customWidth="1"/>
    <col min="5" max="5" width="12.140625" style="8" bestFit="1" customWidth="1"/>
    <col min="6" max="6" width="68.42578125" style="8" bestFit="1" customWidth="1"/>
    <col min="8" max="8" width="15" customWidth="1"/>
    <col min="9" max="9" width="12" customWidth="1"/>
  </cols>
  <sheetData>
    <row r="1" spans="1:9" ht="21.95" customHeight="1" x14ac:dyDescent="0.3">
      <c r="A1" s="7" t="s">
        <v>0</v>
      </c>
      <c r="B1" s="14"/>
      <c r="C1" s="14"/>
      <c r="D1" s="14"/>
      <c r="E1" s="14"/>
      <c r="F1" s="14"/>
      <c r="H1" s="1" t="s">
        <v>1</v>
      </c>
      <c r="I1" s="2">
        <v>4.4450000000000003</v>
      </c>
    </row>
    <row r="2" spans="1:9" ht="21.95" customHeight="1" x14ac:dyDescent="0.25"/>
    <row r="3" spans="1:9" ht="21.95" customHeight="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9" ht="21.95" customHeight="1" x14ac:dyDescent="0.25">
      <c r="A4" s="4" t="s">
        <v>8</v>
      </c>
      <c r="B4" s="4"/>
      <c r="C4" s="5">
        <f>SUM(C6:C47)</f>
        <v>1880</v>
      </c>
      <c r="D4" s="4" t="s">
        <v>9</v>
      </c>
      <c r="E4" s="5">
        <f>SUM(E6:E47)</f>
        <v>1880</v>
      </c>
      <c r="F4" s="4"/>
    </row>
    <row r="5" spans="1:9" ht="21.95" customHeight="1" x14ac:dyDescent="0.25">
      <c r="A5" s="6"/>
      <c r="B5" s="6"/>
      <c r="C5" s="6" t="s">
        <v>10</v>
      </c>
      <c r="D5" s="6"/>
      <c r="E5" s="6" t="s">
        <v>11</v>
      </c>
      <c r="F5" s="6"/>
      <c r="G5" s="6"/>
      <c r="H5" s="6"/>
      <c r="I5" s="6"/>
    </row>
    <row r="6" spans="1:9" ht="21.95" customHeight="1" x14ac:dyDescent="0.25">
      <c r="A6" s="15">
        <f t="shared" ref="A6:A47" si="0">RU*B6</f>
        <v>186.69</v>
      </c>
      <c r="B6" s="9">
        <v>42</v>
      </c>
      <c r="C6" s="16"/>
      <c r="D6" s="9" t="s">
        <v>12</v>
      </c>
      <c r="E6" s="16"/>
      <c r="F6" s="9" t="s">
        <v>13</v>
      </c>
    </row>
    <row r="7" spans="1:9" ht="21.95" customHeight="1" x14ac:dyDescent="0.25">
      <c r="A7" s="15">
        <f t="shared" si="0"/>
        <v>182.245</v>
      </c>
      <c r="B7" s="9">
        <v>41</v>
      </c>
      <c r="C7" s="16">
        <v>250</v>
      </c>
      <c r="D7" s="9" t="s">
        <v>14</v>
      </c>
      <c r="E7" s="16">
        <v>250</v>
      </c>
      <c r="F7" s="9" t="s">
        <v>15</v>
      </c>
    </row>
    <row r="8" spans="1:9" ht="21.95" customHeight="1" x14ac:dyDescent="0.25">
      <c r="A8" s="15">
        <f t="shared" si="0"/>
        <v>177.8</v>
      </c>
      <c r="B8" s="9">
        <v>40</v>
      </c>
      <c r="C8" s="16"/>
      <c r="D8" s="9" t="s">
        <v>16</v>
      </c>
      <c r="E8" s="16"/>
      <c r="F8" s="9" t="s">
        <v>17</v>
      </c>
    </row>
    <row r="9" spans="1:9" ht="21.95" customHeight="1" x14ac:dyDescent="0.25">
      <c r="A9" s="15">
        <f t="shared" si="0"/>
        <v>173.35500000000002</v>
      </c>
      <c r="B9" s="9">
        <v>39</v>
      </c>
      <c r="C9" s="16">
        <v>250</v>
      </c>
      <c r="D9" s="9" t="s">
        <v>18</v>
      </c>
      <c r="E9" s="16">
        <v>250</v>
      </c>
      <c r="F9" s="9" t="s">
        <v>19</v>
      </c>
    </row>
    <row r="10" spans="1:9" ht="21.95" customHeight="1" x14ac:dyDescent="0.25">
      <c r="A10" s="15">
        <f t="shared" si="0"/>
        <v>168.91000000000003</v>
      </c>
      <c r="B10" s="9">
        <v>38</v>
      </c>
      <c r="C10" s="16"/>
      <c r="D10" s="9" t="s">
        <v>16</v>
      </c>
      <c r="E10" s="16"/>
      <c r="F10" s="9" t="s">
        <v>17</v>
      </c>
    </row>
    <row r="11" spans="1:9" ht="21.95" customHeight="1" x14ac:dyDescent="0.25">
      <c r="A11" s="15">
        <f t="shared" si="0"/>
        <v>164.465</v>
      </c>
      <c r="B11" s="9">
        <v>37</v>
      </c>
      <c r="C11" s="16">
        <v>250</v>
      </c>
      <c r="D11" s="9" t="s">
        <v>20</v>
      </c>
      <c r="E11" s="16">
        <v>250</v>
      </c>
      <c r="F11" s="9" t="s">
        <v>21</v>
      </c>
    </row>
    <row r="12" spans="1:9" ht="21.95" customHeight="1" x14ac:dyDescent="0.25">
      <c r="A12" s="17">
        <f t="shared" si="0"/>
        <v>160.02000000000001</v>
      </c>
      <c r="B12" s="10">
        <v>36</v>
      </c>
      <c r="C12" s="18"/>
      <c r="D12" s="10" t="s">
        <v>22</v>
      </c>
      <c r="E12" s="18"/>
      <c r="F12" s="10" t="s">
        <v>23</v>
      </c>
    </row>
    <row r="13" spans="1:9" ht="21.95" customHeight="1" x14ac:dyDescent="0.25">
      <c r="A13" s="17">
        <f t="shared" si="0"/>
        <v>155.57500000000002</v>
      </c>
      <c r="B13" s="10">
        <v>35</v>
      </c>
      <c r="C13" s="18"/>
      <c r="D13" s="10" t="s">
        <v>22</v>
      </c>
      <c r="E13" s="18"/>
      <c r="F13" s="10" t="s">
        <v>23</v>
      </c>
    </row>
    <row r="14" spans="1:9" ht="21.95" customHeight="1" x14ac:dyDescent="0.25">
      <c r="A14" s="19">
        <f t="shared" si="0"/>
        <v>151.13</v>
      </c>
      <c r="B14" s="11">
        <v>34</v>
      </c>
      <c r="C14" s="20">
        <v>550</v>
      </c>
      <c r="D14" s="11" t="s">
        <v>24</v>
      </c>
      <c r="E14" s="20">
        <v>550</v>
      </c>
      <c r="F14" s="11" t="s">
        <v>25</v>
      </c>
    </row>
    <row r="15" spans="1:9" ht="21.95" customHeight="1" x14ac:dyDescent="0.25">
      <c r="A15" s="19">
        <f t="shared" si="0"/>
        <v>146.685</v>
      </c>
      <c r="B15" s="11">
        <v>33</v>
      </c>
      <c r="C15" s="20"/>
      <c r="D15" s="11" t="s">
        <v>26</v>
      </c>
      <c r="E15" s="20"/>
      <c r="F15" s="11" t="s">
        <v>27</v>
      </c>
    </row>
    <row r="16" spans="1:9" ht="21.95" customHeight="1" x14ac:dyDescent="0.25">
      <c r="A16" s="17">
        <f t="shared" si="0"/>
        <v>142.24</v>
      </c>
      <c r="B16" s="10">
        <v>32</v>
      </c>
      <c r="C16" s="18"/>
      <c r="D16" s="10" t="s">
        <v>22</v>
      </c>
      <c r="E16" s="18"/>
      <c r="F16" s="10" t="s">
        <v>28</v>
      </c>
    </row>
    <row r="17" spans="1:6" ht="21.95" customHeight="1" x14ac:dyDescent="0.25">
      <c r="A17" s="19">
        <f t="shared" si="0"/>
        <v>137.79500000000002</v>
      </c>
      <c r="B17" s="11">
        <v>31</v>
      </c>
      <c r="C17" s="20">
        <v>550</v>
      </c>
      <c r="D17" s="11" t="s">
        <v>29</v>
      </c>
      <c r="E17" s="20">
        <v>550</v>
      </c>
      <c r="F17" s="11" t="s">
        <v>25</v>
      </c>
    </row>
    <row r="18" spans="1:6" ht="21.95" customHeight="1" x14ac:dyDescent="0.25">
      <c r="A18" s="19">
        <f t="shared" si="0"/>
        <v>133.35000000000002</v>
      </c>
      <c r="B18" s="11">
        <v>30</v>
      </c>
      <c r="C18" s="20"/>
      <c r="D18" s="11" t="s">
        <v>30</v>
      </c>
      <c r="E18" s="20"/>
      <c r="F18" s="11" t="s">
        <v>27</v>
      </c>
    </row>
    <row r="19" spans="1:6" ht="21.95" customHeight="1" x14ac:dyDescent="0.25">
      <c r="A19" s="17">
        <f t="shared" si="0"/>
        <v>128.905</v>
      </c>
      <c r="B19" s="10">
        <v>29</v>
      </c>
      <c r="C19" s="18"/>
      <c r="D19" s="10" t="s">
        <v>22</v>
      </c>
      <c r="E19" s="18"/>
      <c r="F19" s="10" t="s">
        <v>28</v>
      </c>
    </row>
    <row r="20" spans="1:6" ht="21.95" customHeight="1" x14ac:dyDescent="0.25">
      <c r="A20" s="21">
        <f t="shared" si="0"/>
        <v>124.46000000000001</v>
      </c>
      <c r="B20" s="12">
        <v>28</v>
      </c>
      <c r="C20" s="22">
        <v>30</v>
      </c>
      <c r="D20" s="12" t="s">
        <v>31</v>
      </c>
      <c r="E20" s="22">
        <v>30</v>
      </c>
      <c r="F20" s="12" t="s">
        <v>32</v>
      </c>
    </row>
    <row r="21" spans="1:6" ht="21.95" customHeight="1" x14ac:dyDescent="0.25">
      <c r="A21" s="21">
        <f t="shared" si="0"/>
        <v>120.01500000000001</v>
      </c>
      <c r="B21" s="12">
        <v>27</v>
      </c>
      <c r="C21" s="22"/>
      <c r="D21" s="12" t="s">
        <v>33</v>
      </c>
      <c r="E21" s="22"/>
      <c r="F21" s="12" t="s">
        <v>34</v>
      </c>
    </row>
    <row r="22" spans="1:6" ht="21.95" customHeight="1" x14ac:dyDescent="0.25">
      <c r="A22" s="17">
        <f t="shared" si="0"/>
        <v>115.57000000000001</v>
      </c>
      <c r="B22" s="10">
        <v>26</v>
      </c>
      <c r="C22" s="18"/>
      <c r="D22" s="10" t="s">
        <v>35</v>
      </c>
      <c r="E22" s="18"/>
      <c r="F22" s="10" t="s">
        <v>36</v>
      </c>
    </row>
    <row r="23" spans="1:6" ht="21.95" customHeight="1" x14ac:dyDescent="0.25">
      <c r="A23" s="17">
        <f t="shared" si="0"/>
        <v>111.125</v>
      </c>
      <c r="B23" s="10">
        <v>25</v>
      </c>
      <c r="C23" s="18"/>
      <c r="D23" s="10" t="s">
        <v>35</v>
      </c>
      <c r="E23" s="18"/>
      <c r="F23" s="10" t="s">
        <v>36</v>
      </c>
    </row>
    <row r="24" spans="1:6" ht="21.95" customHeight="1" x14ac:dyDescent="0.25">
      <c r="A24" s="17">
        <f t="shared" si="0"/>
        <v>106.68</v>
      </c>
      <c r="B24" s="10">
        <v>24</v>
      </c>
      <c r="C24" s="18"/>
      <c r="D24" s="10" t="s">
        <v>35</v>
      </c>
      <c r="E24" s="18"/>
      <c r="F24" s="10" t="s">
        <v>36</v>
      </c>
    </row>
    <row r="25" spans="1:6" ht="21.95" customHeight="1" x14ac:dyDescent="0.25">
      <c r="A25" s="17">
        <f t="shared" si="0"/>
        <v>102.23500000000001</v>
      </c>
      <c r="B25" s="10">
        <v>23</v>
      </c>
      <c r="C25" s="18"/>
      <c r="D25" s="10" t="s">
        <v>35</v>
      </c>
      <c r="E25" s="18"/>
      <c r="F25" s="10" t="s">
        <v>36</v>
      </c>
    </row>
    <row r="26" spans="1:6" ht="21.95" customHeight="1" x14ac:dyDescent="0.25">
      <c r="A26" s="17">
        <f t="shared" si="0"/>
        <v>97.79</v>
      </c>
      <c r="B26" s="10">
        <v>22</v>
      </c>
      <c r="C26" s="18"/>
      <c r="D26" s="10" t="s">
        <v>35</v>
      </c>
      <c r="E26" s="18"/>
      <c r="F26" s="10" t="s">
        <v>36</v>
      </c>
    </row>
    <row r="27" spans="1:6" ht="21.95" customHeight="1" x14ac:dyDescent="0.25">
      <c r="A27" s="17">
        <f t="shared" si="0"/>
        <v>93.344999999999999</v>
      </c>
      <c r="B27" s="10">
        <v>21</v>
      </c>
      <c r="C27" s="18"/>
      <c r="D27" s="10" t="s">
        <v>35</v>
      </c>
      <c r="E27" s="18"/>
      <c r="F27" s="10" t="s">
        <v>36</v>
      </c>
    </row>
    <row r="28" spans="1:6" ht="21.95" customHeight="1" x14ac:dyDescent="0.25">
      <c r="A28" s="17">
        <f t="shared" si="0"/>
        <v>88.9</v>
      </c>
      <c r="B28" s="10">
        <v>20</v>
      </c>
      <c r="C28" s="18"/>
      <c r="D28" s="10" t="s">
        <v>35</v>
      </c>
      <c r="E28" s="18"/>
      <c r="F28" s="10" t="s">
        <v>36</v>
      </c>
    </row>
    <row r="29" spans="1:6" ht="21.95" customHeight="1" x14ac:dyDescent="0.25">
      <c r="A29" s="17">
        <f t="shared" si="0"/>
        <v>84.455000000000013</v>
      </c>
      <c r="B29" s="10">
        <v>19</v>
      </c>
      <c r="C29" s="18"/>
      <c r="D29" s="10" t="s">
        <v>35</v>
      </c>
      <c r="E29" s="18"/>
      <c r="F29" s="10" t="s">
        <v>36</v>
      </c>
    </row>
    <row r="30" spans="1:6" ht="21.95" customHeight="1" x14ac:dyDescent="0.25">
      <c r="A30" s="17">
        <f t="shared" si="0"/>
        <v>80.010000000000005</v>
      </c>
      <c r="B30" s="10">
        <v>18</v>
      </c>
      <c r="C30" s="18"/>
      <c r="D30" s="10" t="s">
        <v>35</v>
      </c>
      <c r="E30" s="18"/>
      <c r="F30" s="10" t="s">
        <v>36</v>
      </c>
    </row>
    <row r="31" spans="1:6" ht="21.95" customHeight="1" x14ac:dyDescent="0.25">
      <c r="A31" s="17">
        <f t="shared" si="0"/>
        <v>75.564999999999998</v>
      </c>
      <c r="B31" s="10">
        <v>17</v>
      </c>
      <c r="C31" s="18"/>
      <c r="D31" s="10" t="s">
        <v>35</v>
      </c>
      <c r="E31" s="18"/>
      <c r="F31" s="10" t="s">
        <v>36</v>
      </c>
    </row>
    <row r="32" spans="1:6" ht="21.95" customHeight="1" x14ac:dyDescent="0.25">
      <c r="A32" s="17">
        <f t="shared" si="0"/>
        <v>71.12</v>
      </c>
      <c r="B32" s="10">
        <v>16</v>
      </c>
      <c r="C32" s="18"/>
      <c r="D32" s="10" t="s">
        <v>35</v>
      </c>
      <c r="E32" s="18"/>
      <c r="F32" s="10" t="s">
        <v>36</v>
      </c>
    </row>
    <row r="33" spans="1:6" ht="21.95" customHeight="1" x14ac:dyDescent="0.25">
      <c r="A33" s="17">
        <f t="shared" si="0"/>
        <v>66.675000000000011</v>
      </c>
      <c r="B33" s="10">
        <v>15</v>
      </c>
      <c r="C33" s="18"/>
      <c r="D33" s="10" t="s">
        <v>35</v>
      </c>
      <c r="E33" s="18"/>
      <c r="F33" s="10" t="s">
        <v>36</v>
      </c>
    </row>
    <row r="34" spans="1:6" ht="21.95" customHeight="1" x14ac:dyDescent="0.25">
      <c r="A34" s="17">
        <f t="shared" si="0"/>
        <v>62.230000000000004</v>
      </c>
      <c r="B34" s="10">
        <v>14</v>
      </c>
      <c r="C34" s="18"/>
      <c r="D34" s="10" t="s">
        <v>35</v>
      </c>
      <c r="E34" s="18"/>
      <c r="F34" s="10" t="s">
        <v>36</v>
      </c>
    </row>
    <row r="35" spans="1:6" ht="21.95" customHeight="1" x14ac:dyDescent="0.25">
      <c r="A35" s="17">
        <f t="shared" si="0"/>
        <v>57.785000000000004</v>
      </c>
      <c r="B35" s="10">
        <v>13</v>
      </c>
      <c r="C35" s="18"/>
      <c r="D35" s="10" t="s">
        <v>35</v>
      </c>
      <c r="E35" s="18"/>
      <c r="F35" s="10" t="s">
        <v>36</v>
      </c>
    </row>
    <row r="36" spans="1:6" ht="21.95" customHeight="1" x14ac:dyDescent="0.25">
      <c r="A36" s="17">
        <f t="shared" si="0"/>
        <v>53.34</v>
      </c>
      <c r="B36" s="10">
        <v>12</v>
      </c>
      <c r="C36" s="18"/>
      <c r="D36" s="10" t="s">
        <v>35</v>
      </c>
      <c r="E36" s="18"/>
      <c r="F36" s="10" t="s">
        <v>36</v>
      </c>
    </row>
    <row r="37" spans="1:6" ht="21.95" customHeight="1" x14ac:dyDescent="0.25">
      <c r="A37" s="17">
        <f t="shared" si="0"/>
        <v>48.895000000000003</v>
      </c>
      <c r="B37" s="10">
        <v>11</v>
      </c>
      <c r="C37" s="18"/>
      <c r="D37" s="10" t="s">
        <v>35</v>
      </c>
      <c r="E37" s="18"/>
      <c r="F37" s="10" t="s">
        <v>36</v>
      </c>
    </row>
    <row r="38" spans="1:6" ht="21.95" customHeight="1" x14ac:dyDescent="0.25">
      <c r="A38" s="17">
        <f t="shared" si="0"/>
        <v>44.45</v>
      </c>
      <c r="B38" s="10">
        <v>10</v>
      </c>
      <c r="C38" s="18"/>
      <c r="D38" s="10" t="s">
        <v>35</v>
      </c>
      <c r="E38" s="18"/>
      <c r="F38" s="10" t="s">
        <v>36</v>
      </c>
    </row>
    <row r="39" spans="1:6" ht="21.95" customHeight="1" x14ac:dyDescent="0.25">
      <c r="A39" s="17">
        <f t="shared" si="0"/>
        <v>40.005000000000003</v>
      </c>
      <c r="B39" s="10">
        <v>9</v>
      </c>
      <c r="C39" s="18"/>
      <c r="D39" s="10" t="s">
        <v>35</v>
      </c>
      <c r="E39" s="18"/>
      <c r="F39" s="10" t="s">
        <v>36</v>
      </c>
    </row>
    <row r="40" spans="1:6" ht="21.95" customHeight="1" x14ac:dyDescent="0.25">
      <c r="A40" s="17">
        <f t="shared" si="0"/>
        <v>35.56</v>
      </c>
      <c r="B40" s="10">
        <v>8</v>
      </c>
      <c r="C40" s="18"/>
      <c r="D40" s="10" t="s">
        <v>35</v>
      </c>
      <c r="E40" s="18"/>
      <c r="F40" s="10" t="s">
        <v>36</v>
      </c>
    </row>
    <row r="41" spans="1:6" ht="21.95" customHeight="1" x14ac:dyDescent="0.25">
      <c r="A41" s="17">
        <f t="shared" si="0"/>
        <v>31.115000000000002</v>
      </c>
      <c r="B41" s="10">
        <v>7</v>
      </c>
      <c r="C41" s="18"/>
      <c r="D41" s="10" t="s">
        <v>35</v>
      </c>
      <c r="E41" s="18"/>
      <c r="F41" s="10" t="s">
        <v>36</v>
      </c>
    </row>
    <row r="42" spans="1:6" ht="21.95" customHeight="1" x14ac:dyDescent="0.25">
      <c r="A42" s="17">
        <f t="shared" si="0"/>
        <v>26.67</v>
      </c>
      <c r="B42" s="10">
        <v>6</v>
      </c>
      <c r="C42" s="18"/>
      <c r="D42" s="10" t="s">
        <v>35</v>
      </c>
      <c r="E42" s="18"/>
      <c r="F42" s="10" t="s">
        <v>36</v>
      </c>
    </row>
    <row r="43" spans="1:6" ht="21.95" customHeight="1" x14ac:dyDescent="0.25">
      <c r="A43" s="17">
        <f t="shared" si="0"/>
        <v>22.225000000000001</v>
      </c>
      <c r="B43" s="10">
        <v>5</v>
      </c>
      <c r="C43" s="18"/>
      <c r="D43" s="10" t="s">
        <v>35</v>
      </c>
      <c r="E43" s="18"/>
      <c r="F43" s="10" t="s">
        <v>36</v>
      </c>
    </row>
    <row r="44" spans="1:6" ht="21.95" customHeight="1" x14ac:dyDescent="0.25">
      <c r="A44" s="17">
        <f t="shared" si="0"/>
        <v>17.78</v>
      </c>
      <c r="B44" s="10">
        <v>4</v>
      </c>
      <c r="C44" s="18"/>
      <c r="D44" s="10" t="s">
        <v>35</v>
      </c>
      <c r="E44" s="18"/>
      <c r="F44" s="10" t="s">
        <v>36</v>
      </c>
    </row>
    <row r="45" spans="1:6" ht="21.95" customHeight="1" x14ac:dyDescent="0.25">
      <c r="A45" s="23">
        <f t="shared" si="0"/>
        <v>13.335000000000001</v>
      </c>
      <c r="B45" s="13">
        <v>3</v>
      </c>
      <c r="C45" s="24"/>
      <c r="D45" s="13" t="s">
        <v>37</v>
      </c>
      <c r="E45" s="24"/>
      <c r="F45" s="13" t="s">
        <v>38</v>
      </c>
    </row>
    <row r="46" spans="1:6" ht="21.95" customHeight="1" x14ac:dyDescent="0.25">
      <c r="A46" s="23">
        <f t="shared" si="0"/>
        <v>8.89</v>
      </c>
      <c r="B46" s="13">
        <v>2</v>
      </c>
      <c r="C46" s="24"/>
      <c r="D46" s="13" t="s">
        <v>39</v>
      </c>
      <c r="E46" s="24"/>
      <c r="F46" s="13" t="s">
        <v>40</v>
      </c>
    </row>
    <row r="47" spans="1:6" ht="21.95" customHeight="1" x14ac:dyDescent="0.25">
      <c r="A47" s="23">
        <f t="shared" si="0"/>
        <v>4.4450000000000003</v>
      </c>
      <c r="B47" s="13">
        <v>1</v>
      </c>
      <c r="C47" s="24"/>
      <c r="D47" s="13" t="s">
        <v>41</v>
      </c>
      <c r="E47" s="24"/>
      <c r="F47" s="13" t="s">
        <v>42</v>
      </c>
    </row>
    <row r="48" spans="1:6" ht="21.95" customHeight="1" x14ac:dyDescent="0.25"/>
    <row r="49" spans="1:6" ht="21.95" customHeight="1" x14ac:dyDescent="0.25"/>
    <row r="50" spans="1:6" ht="21.95" customHeight="1" x14ac:dyDescent="0.25">
      <c r="A50" s="25" t="s">
        <v>43</v>
      </c>
      <c r="B50" s="14"/>
      <c r="C50" s="14"/>
      <c r="D50" s="14"/>
      <c r="E50" s="14"/>
      <c r="F50" s="14"/>
    </row>
    <row r="51" spans="1:6" ht="21.95" customHeight="1" x14ac:dyDescent="0.25">
      <c r="A51" s="26" t="s">
        <v>44</v>
      </c>
      <c r="B51" s="27"/>
      <c r="C51" s="27"/>
      <c r="D51" s="27"/>
      <c r="E51" s="27"/>
      <c r="F51" s="27"/>
    </row>
    <row r="52" spans="1:6" ht="21.95" customHeight="1" x14ac:dyDescent="0.25">
      <c r="A52" s="26" t="s">
        <v>45</v>
      </c>
      <c r="B52" s="27"/>
      <c r="C52" s="27"/>
      <c r="D52" s="27"/>
      <c r="E52" s="27"/>
      <c r="F52" s="27"/>
    </row>
    <row r="53" spans="1:6" ht="21.95" customHeight="1" x14ac:dyDescent="0.25">
      <c r="A53" s="26" t="s">
        <v>46</v>
      </c>
      <c r="B53" s="27"/>
      <c r="C53" s="27"/>
      <c r="D53" s="27"/>
      <c r="E53" s="27"/>
      <c r="F53" s="27"/>
    </row>
    <row r="54" spans="1:6" ht="21.95" customHeight="1" x14ac:dyDescent="0.25">
      <c r="A54" s="26" t="s">
        <v>47</v>
      </c>
      <c r="B54" s="26"/>
      <c r="C54" s="26"/>
      <c r="D54" s="26"/>
      <c r="E54" s="26"/>
      <c r="F54" s="26"/>
    </row>
    <row r="55" spans="1:6" ht="21.95" customHeight="1" x14ac:dyDescent="0.25">
      <c r="A55" s="26" t="s">
        <v>48</v>
      </c>
      <c r="B55" s="27"/>
      <c r="C55" s="27"/>
      <c r="D55" s="27"/>
      <c r="E55" s="27"/>
      <c r="F55" s="27"/>
    </row>
  </sheetData>
  <mergeCells count="7">
    <mergeCell ref="A55:F55"/>
    <mergeCell ref="A54:F54"/>
    <mergeCell ref="A51:F51"/>
    <mergeCell ref="A52:F52"/>
    <mergeCell ref="A1:F1"/>
    <mergeCell ref="A50:F50"/>
    <mergeCell ref="A53:F53"/>
  </mergeCell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Rack Planning Sheet</vt:lpstr>
      <vt:lpstr>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Liam Saunders - STUDENT</cp:lastModifiedBy>
  <dcterms:created xsi:type="dcterms:W3CDTF">2026-05-01T08:19:30Z</dcterms:created>
  <dcterms:modified xsi:type="dcterms:W3CDTF">2026-05-01T08:30:34Z</dcterms:modified>
</cp:coreProperties>
</file>