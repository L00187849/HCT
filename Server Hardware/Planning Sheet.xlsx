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tlantictu-my.sharepoint.com/personal/l00187849_atu_ie/Documents/L00187849/L00187849/Hybrid Cloud/CA1/"/>
    </mc:Choice>
  </mc:AlternateContent>
  <xr:revisionPtr revIDLastSave="43" documentId="8_{C31AF04A-6FB6-4175-87F3-AD9C569F4F28}" xr6:coauthVersionLast="47" xr6:coauthVersionMax="47" xr10:uidLastSave="{082AE291-1ABF-4334-8B78-32BF315EFB9E}"/>
  <bookViews>
    <workbookView xWindow="-108" yWindow="-108" windowWidth="23256" windowHeight="13896" xr2:uid="{00000000-000D-0000-FFFF-FFFF00000000}"/>
  </bookViews>
  <sheets>
    <sheet name="Compute" sheetId="2" r:id="rId1"/>
    <sheet name="Rack Planning Sheet" sheetId="1" r:id="rId2"/>
  </sheets>
  <definedNames>
    <definedName name="RU">'Rack Planning Sheet'!$I$1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2" l="1"/>
  <c r="E18" i="2"/>
  <c r="E17" i="2"/>
  <c r="E15" i="2"/>
  <c r="E16" i="2"/>
  <c r="E14" i="2"/>
  <c r="E11" i="2"/>
  <c r="E12" i="2"/>
  <c r="E10" i="2"/>
  <c r="E6" i="2"/>
  <c r="E7" i="2"/>
  <c r="E8" i="2"/>
  <c r="E5" i="2"/>
  <c r="E2" i="2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E4" i="1"/>
  <c r="C4" i="1"/>
</calcChain>
</file>

<file path=xl/sharedStrings.xml><?xml version="1.0" encoding="utf-8"?>
<sst xmlns="http://schemas.openxmlformats.org/spreadsheetml/2006/main" count="166" uniqueCount="103">
  <si>
    <t>42U Rack Planning Sheet – Private Cloud Server Hardware</t>
  </si>
  <si>
    <t>RU Height (cm)</t>
  </si>
  <si>
    <t>Height (cm)</t>
  </si>
  <si>
    <t>Rack Unit</t>
  </si>
  <si>
    <t>PDU A Watts</t>
  </si>
  <si>
    <t>Equipment / Position</t>
  </si>
  <si>
    <t>PDU B Watts</t>
  </si>
  <si>
    <t>Cables / Notes</t>
  </si>
  <si>
    <t>Totals</t>
  </si>
  <si>
    <t>Estimated power load per PDU</t>
  </si>
  <si>
    <t>PDU A</t>
  </si>
  <si>
    <t>PDU B</t>
  </si>
  <si>
    <t>Cable Management / Patch Panel</t>
  </si>
  <si>
    <t>Structured cable presentation for switch uplinks and management runs</t>
  </si>
  <si>
    <t>Top of Rack Switch 1</t>
  </si>
  <si>
    <t>2 × C15 power cables; SFP28 / DAC uplinks as required</t>
  </si>
  <si>
    <t>Cable Management</t>
  </si>
  <si>
    <t>1U cable tidy</t>
  </si>
  <si>
    <t>Top of Rack Switch 2</t>
  </si>
  <si>
    <t>2 × C15 power cables; redundant VM/storage switching</t>
  </si>
  <si>
    <t>Management Switch</t>
  </si>
  <si>
    <t>2 × C15 power cables; RJ45 CAT6 management/iDRAC</t>
  </si>
  <si>
    <t>Blank Panel / Airflow</t>
  </si>
  <si>
    <t>Maintains front-to-back airflow</t>
  </si>
  <si>
    <t>Host Server 1 – Dell PowerEdge R670</t>
  </si>
  <si>
    <t>2 × C14 power cables; 2 × management; 2 × VM trunk; 2 × storage; 1 × iDRAC</t>
  </si>
  <si>
    <t>Host Server 1 continued / 2U space</t>
  </si>
  <si>
    <t>Server chassis space</t>
  </si>
  <si>
    <t>Airflow gap</t>
  </si>
  <si>
    <t>Host Server 2 – Dell PowerEdge R670</t>
  </si>
  <si>
    <t>Host Server 2 continued / 2U space</t>
  </si>
  <si>
    <t>KVM Monitor &amp; Keyboard</t>
  </si>
  <si>
    <t>1 × C14 power cable; local maintenance only</t>
  </si>
  <si>
    <t>KVM Drawer continued / 2U space</t>
  </si>
  <si>
    <t>KVM space</t>
  </si>
  <si>
    <t>Blank Panel / Future Expansion</t>
  </si>
  <si>
    <t>Reserved</t>
  </si>
  <si>
    <t>PDU A – 16A 230V</t>
  </si>
  <si>
    <t>Left/rear rack power distribution</t>
  </si>
  <si>
    <t>PDU B – 16A 230V</t>
  </si>
  <si>
    <t>Right/rear rack power distribution</t>
  </si>
  <si>
    <t>UPS / Power Protection</t>
  </si>
  <si>
    <t>Heavy equipment placed at bottom of rack</t>
  </si>
  <si>
    <t>Rack Planning Notes</t>
  </si>
  <si>
    <t>• Rack size shown as 42U. Servers are shown as 2U each with airflow gaps/blanking panels included.</t>
  </si>
  <si>
    <t>• Network switches are placed near the top of rack for cleaner patching and easier cable management.</t>
  </si>
  <si>
    <t>• Power equipment is placed low in the rack for weight distribution and safety.</t>
  </si>
  <si>
    <t>• Each server uses dual redundant power: one PSU to PDU A and one PSU to PDU B.</t>
  </si>
  <si>
    <t>• VM workload links should be trunk/tagged links. iDRAC/BMC management should be isolated from normal user traffic.</t>
  </si>
  <si>
    <t>Item</t>
  </si>
  <si>
    <t>Description</t>
  </si>
  <si>
    <t>Qty</t>
  </si>
  <si>
    <t>Unit Cost (€)</t>
  </si>
  <si>
    <t>Total (€)</t>
  </si>
  <si>
    <t>Notes</t>
  </si>
  <si>
    <t>Server</t>
  </si>
  <si>
    <t>Dell PowerEdge R670</t>
  </si>
  <si>
    <t>Dual socket, 48 cores, 512GB RAM per server</t>
  </si>
  <si>
    <t>CPU</t>
  </si>
  <si>
    <t>Intel Xeon 6520P (24-core)</t>
  </si>
  <si>
    <t>Included</t>
  </si>
  <si>
    <t>-</t>
  </si>
  <si>
    <t>2 per server (48 cores total per host)</t>
  </si>
  <si>
    <t>RAM</t>
  </si>
  <si>
    <t>32GB RDIMM</t>
  </si>
  <si>
    <t>512GB per server</t>
  </si>
  <si>
    <t>Boot Drives</t>
  </si>
  <si>
    <t>NVMe 240GB</t>
  </si>
  <si>
    <t>RAID 1 (OS protection)</t>
  </si>
  <si>
    <t>Storage Drives</t>
  </si>
  <si>
    <t>3.84TB SAS</t>
  </si>
  <si>
    <t>RAID 6 (23TB usable)</t>
  </si>
  <si>
    <t>RAID Controller</t>
  </si>
  <si>
    <t>Hardware RAID Controller</t>
  </si>
  <si>
    <t>Supports RAID 1 and RAID 6</t>
  </si>
  <si>
    <t>NIC</t>
  </si>
  <si>
    <t>25Gb SFP28 Network Adapter</t>
  </si>
  <si>
    <t>VM and Storage network traffic</t>
  </si>
  <si>
    <t>1Gb Ethernet Ports</t>
  </si>
  <si>
    <t>Management network interfaces</t>
  </si>
  <si>
    <t>Network Cables</t>
  </si>
  <si>
    <t>SFP28 DAC 3m</t>
  </si>
  <si>
    <t>VM and Storage connections</t>
  </si>
  <si>
    <t>Cat6 Ethernet</t>
  </si>
  <si>
    <t>Management and iDRAC connections</t>
  </si>
  <si>
    <t>Power Cables</t>
  </si>
  <si>
    <t>C13–C14</t>
  </si>
  <si>
    <t>Dual PSU connections</t>
  </si>
  <si>
    <t>PSU</t>
  </si>
  <si>
    <t>Dual 1100W Hot Plug PSU</t>
  </si>
  <si>
    <t>Redundant power (Power Rail A &amp; B)</t>
  </si>
  <si>
    <t>OS Licence</t>
  </si>
  <si>
    <t>Windows Server 2025</t>
  </si>
  <si>
    <t>Core-based licensing</t>
  </si>
  <si>
    <t>Licensing</t>
  </si>
  <si>
    <t>Additional Core Packs</t>
  </si>
  <si>
    <t>To match CPU core requirements</t>
  </si>
  <si>
    <t>Labour</t>
  </si>
  <si>
    <t>Installation &amp; Configuration</t>
  </si>
  <si>
    <t>System setup and deployment</t>
  </si>
  <si>
    <t>Subtotal</t>
  </si>
  <si>
    <t>VAT (23%)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</si>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</sst>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\ &quot;W&quot;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rgb="FF666666"/>
      <name val="Calibri"/>
      <family val="2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FFEAF4FB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164" fontId="0" fillId="0" borderId="0" xfId="0" applyNumberFormat="1"/>
    <xf numFmtId="0" fontId="3" fillId="2" borderId="1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wrapText="1"/>
    </xf>
    <xf numFmtId="165" fontId="4" fillId="3" borderId="0" xfId="0" applyNumberFormat="1" applyFont="1" applyFill="1" applyAlignment="1">
      <alignment horizontal="center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166" fontId="0" fillId="4" borderId="2" xfId="0" applyNumberFormat="1" applyFill="1" applyBorder="1" applyAlignment="1">
      <alignment horizontal="center" vertical="center" wrapText="1"/>
    </xf>
    <xf numFmtId="165" fontId="0" fillId="4" borderId="2" xfId="0" applyNumberFormat="1" applyFill="1" applyBorder="1" applyAlignment="1">
      <alignment horizontal="center" vertical="center" wrapText="1"/>
    </xf>
    <xf numFmtId="166" fontId="0" fillId="5" borderId="2" xfId="0" applyNumberFormat="1" applyFill="1" applyBorder="1" applyAlignment="1">
      <alignment horizontal="center" vertical="center" wrapText="1"/>
    </xf>
    <xf numFmtId="165" fontId="0" fillId="5" borderId="2" xfId="0" applyNumberFormat="1" applyFill="1" applyBorder="1" applyAlignment="1">
      <alignment horizontal="center" vertical="center" wrapText="1"/>
    </xf>
    <xf numFmtId="166" fontId="0" fillId="6" borderId="2" xfId="0" applyNumberFormat="1" applyFill="1" applyBorder="1" applyAlignment="1">
      <alignment horizontal="center" vertical="center" wrapText="1"/>
    </xf>
    <xf numFmtId="165" fontId="0" fillId="6" borderId="2" xfId="0" applyNumberFormat="1" applyFill="1" applyBorder="1" applyAlignment="1">
      <alignment horizontal="center" vertical="center" wrapText="1"/>
    </xf>
    <xf numFmtId="166" fontId="0" fillId="3" borderId="2" xfId="0" applyNumberFormat="1" applyFill="1" applyBorder="1" applyAlignment="1">
      <alignment horizontal="center" vertical="center" wrapText="1"/>
    </xf>
    <xf numFmtId="165" fontId="0" fillId="3" borderId="2" xfId="0" applyNumberFormat="1" applyFill="1" applyBorder="1" applyAlignment="1">
      <alignment horizontal="center" vertical="center" wrapText="1"/>
    </xf>
    <xf numFmtId="166" fontId="0" fillId="7" borderId="2" xfId="0" applyNumberFormat="1" applyFill="1" applyBorder="1" applyAlignment="1">
      <alignment horizontal="center" vertical="center" wrapText="1"/>
    </xf>
    <xf numFmtId="165" fontId="0" fillId="7" borderId="2" xfId="0" applyNumberForma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/>
    <xf numFmtId="0" fontId="5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5961C-44FB-4716-8D91-CE12190C5DA8}">
  <dimension ref="A1:F19"/>
  <sheetViews>
    <sheetView tabSelected="1" workbookViewId="0">
      <selection activeCell="D27" sqref="D27"/>
    </sheetView>
  </sheetViews>
  <sheetFormatPr defaultRowHeight="14.4" x14ac:dyDescent="0.3"/>
  <cols>
    <col min="1" max="1" width="14" bestFit="1" customWidth="1"/>
    <col min="2" max="2" width="25.21875" bestFit="1" customWidth="1"/>
    <col min="3" max="3" width="7.88671875" bestFit="1" customWidth="1"/>
    <col min="4" max="4" width="11.109375" bestFit="1" customWidth="1"/>
    <col min="5" max="5" width="9.77734375" bestFit="1" customWidth="1"/>
    <col min="6" max="6" width="38.109375" bestFit="1" customWidth="1"/>
  </cols>
  <sheetData>
    <row r="1" spans="1:6" ht="18" x14ac:dyDescent="0.35">
      <c r="A1" s="28" t="s">
        <v>49</v>
      </c>
      <c r="B1" s="28" t="s">
        <v>50</v>
      </c>
      <c r="C1" s="28" t="s">
        <v>51</v>
      </c>
      <c r="D1" s="28" t="s">
        <v>52</v>
      </c>
      <c r="E1" s="28" t="s">
        <v>53</v>
      </c>
      <c r="F1" s="28" t="s">
        <v>54</v>
      </c>
    </row>
    <row r="2" spans="1:6" x14ac:dyDescent="0.3">
      <c r="A2" s="29" t="s">
        <v>55</v>
      </c>
      <c r="B2" s="8" t="s">
        <v>56</v>
      </c>
      <c r="C2" s="8">
        <v>2</v>
      </c>
      <c r="D2" s="8">
        <v>60000</v>
      </c>
      <c r="E2" s="8">
        <f>C2*D2</f>
        <v>120000</v>
      </c>
      <c r="F2" s="8" t="s">
        <v>57</v>
      </c>
    </row>
    <row r="3" spans="1:6" x14ac:dyDescent="0.3">
      <c r="A3" s="29" t="s">
        <v>58</v>
      </c>
      <c r="B3" s="8" t="s">
        <v>59</v>
      </c>
      <c r="C3" s="8">
        <v>4</v>
      </c>
      <c r="D3" s="8" t="s">
        <v>60</v>
      </c>
      <c r="E3" s="8" t="s">
        <v>61</v>
      </c>
      <c r="F3" s="8" t="s">
        <v>62</v>
      </c>
    </row>
    <row r="4" spans="1:6" x14ac:dyDescent="0.3">
      <c r="A4" s="29" t="s">
        <v>63</v>
      </c>
      <c r="B4" s="8" t="s">
        <v>64</v>
      </c>
      <c r="C4" s="8">
        <v>32</v>
      </c>
      <c r="D4" s="8" t="s">
        <v>60</v>
      </c>
      <c r="E4" s="8" t="s">
        <v>61</v>
      </c>
      <c r="F4" s="8" t="s">
        <v>65</v>
      </c>
    </row>
    <row r="5" spans="1:6" x14ac:dyDescent="0.3">
      <c r="A5" s="29" t="s">
        <v>66</v>
      </c>
      <c r="B5" s="8" t="s">
        <v>67</v>
      </c>
      <c r="C5" s="8">
        <v>4</v>
      </c>
      <c r="D5" s="8">
        <v>150</v>
      </c>
      <c r="E5" s="8">
        <f>C5*D5</f>
        <v>600</v>
      </c>
      <c r="F5" s="8" t="s">
        <v>68</v>
      </c>
    </row>
    <row r="6" spans="1:6" x14ac:dyDescent="0.3">
      <c r="A6" s="29" t="s">
        <v>69</v>
      </c>
      <c r="B6" s="8" t="s">
        <v>70</v>
      </c>
      <c r="C6" s="8">
        <v>16</v>
      </c>
      <c r="D6" s="8">
        <v>500</v>
      </c>
      <c r="E6" s="8">
        <f t="shared" ref="E6:E19" si="0">C6*D6</f>
        <v>8000</v>
      </c>
      <c r="F6" s="8" t="s">
        <v>71</v>
      </c>
    </row>
    <row r="7" spans="1:6" x14ac:dyDescent="0.3">
      <c r="A7" s="29" t="s">
        <v>72</v>
      </c>
      <c r="B7" s="8" t="s">
        <v>73</v>
      </c>
      <c r="C7" s="8">
        <v>2</v>
      </c>
      <c r="D7" s="8">
        <v>800</v>
      </c>
      <c r="E7" s="8">
        <f t="shared" si="0"/>
        <v>1600</v>
      </c>
      <c r="F7" s="8" t="s">
        <v>74</v>
      </c>
    </row>
    <row r="8" spans="1:6" x14ac:dyDescent="0.3">
      <c r="A8" s="29" t="s">
        <v>75</v>
      </c>
      <c r="B8" s="8" t="s">
        <v>76</v>
      </c>
      <c r="C8" s="8">
        <v>4</v>
      </c>
      <c r="D8" s="8">
        <v>1500</v>
      </c>
      <c r="E8" s="8">
        <f t="shared" si="0"/>
        <v>6000</v>
      </c>
      <c r="F8" s="8" t="s">
        <v>77</v>
      </c>
    </row>
    <row r="9" spans="1:6" x14ac:dyDescent="0.3">
      <c r="A9" s="29" t="s">
        <v>75</v>
      </c>
      <c r="B9" s="8" t="s">
        <v>78</v>
      </c>
      <c r="C9" s="8" t="s">
        <v>60</v>
      </c>
      <c r="D9" s="8" t="s">
        <v>61</v>
      </c>
      <c r="E9" s="8" t="s">
        <v>61</v>
      </c>
      <c r="F9" s="8" t="s">
        <v>79</v>
      </c>
    </row>
    <row r="10" spans="1:6" ht="28.8" x14ac:dyDescent="0.3">
      <c r="A10" s="29" t="s">
        <v>80</v>
      </c>
      <c r="B10" s="8" t="s">
        <v>81</v>
      </c>
      <c r="C10" s="8">
        <v>12</v>
      </c>
      <c r="D10" s="8">
        <v>50</v>
      </c>
      <c r="E10" s="8">
        <f t="shared" si="0"/>
        <v>600</v>
      </c>
      <c r="F10" s="8" t="s">
        <v>82</v>
      </c>
    </row>
    <row r="11" spans="1:6" ht="28.8" x14ac:dyDescent="0.3">
      <c r="A11" s="29" t="s">
        <v>80</v>
      </c>
      <c r="B11" s="8" t="s">
        <v>83</v>
      </c>
      <c r="C11" s="8">
        <v>4</v>
      </c>
      <c r="D11" s="8">
        <v>10</v>
      </c>
      <c r="E11" s="8">
        <f t="shared" si="0"/>
        <v>40</v>
      </c>
      <c r="F11" s="8" t="s">
        <v>84</v>
      </c>
    </row>
    <row r="12" spans="1:6" x14ac:dyDescent="0.3">
      <c r="A12" s="29" t="s">
        <v>85</v>
      </c>
      <c r="B12" s="8" t="s">
        <v>86</v>
      </c>
      <c r="C12" s="8">
        <v>4</v>
      </c>
      <c r="D12" s="8">
        <v>15</v>
      </c>
      <c r="E12" s="8">
        <f t="shared" si="0"/>
        <v>60</v>
      </c>
      <c r="F12" s="8" t="s">
        <v>87</v>
      </c>
    </row>
    <row r="13" spans="1:6" x14ac:dyDescent="0.3">
      <c r="A13" s="29" t="s">
        <v>88</v>
      </c>
      <c r="B13" s="8" t="s">
        <v>89</v>
      </c>
      <c r="C13" s="8" t="s">
        <v>60</v>
      </c>
      <c r="D13" s="8" t="s">
        <v>61</v>
      </c>
      <c r="E13" s="8" t="s">
        <v>61</v>
      </c>
      <c r="F13" s="8" t="s">
        <v>90</v>
      </c>
    </row>
    <row r="14" spans="1:6" x14ac:dyDescent="0.3">
      <c r="A14" s="29" t="s">
        <v>91</v>
      </c>
      <c r="B14" s="8" t="s">
        <v>92</v>
      </c>
      <c r="C14" s="8">
        <v>2</v>
      </c>
      <c r="D14" s="8">
        <v>6000</v>
      </c>
      <c r="E14" s="8">
        <f t="shared" si="0"/>
        <v>12000</v>
      </c>
      <c r="F14" s="8" t="s">
        <v>93</v>
      </c>
    </row>
    <row r="15" spans="1:6" x14ac:dyDescent="0.3">
      <c r="A15" s="29" t="s">
        <v>94</v>
      </c>
      <c r="B15" s="8" t="s">
        <v>95</v>
      </c>
      <c r="C15" s="8">
        <v>1</v>
      </c>
      <c r="D15" s="8">
        <v>3000</v>
      </c>
      <c r="E15" s="8">
        <f t="shared" si="0"/>
        <v>3000</v>
      </c>
      <c r="F15" s="8" t="s">
        <v>96</v>
      </c>
    </row>
    <row r="16" spans="1:6" x14ac:dyDescent="0.3">
      <c r="A16" s="29" t="s">
        <v>97</v>
      </c>
      <c r="B16" s="8" t="s">
        <v>98</v>
      </c>
      <c r="C16" s="8">
        <v>1</v>
      </c>
      <c r="D16" s="8">
        <v>5000</v>
      </c>
      <c r="E16" s="8">
        <f t="shared" si="0"/>
        <v>5000</v>
      </c>
      <c r="F16" s="8" t="s">
        <v>99</v>
      </c>
    </row>
    <row r="17" spans="1:6" x14ac:dyDescent="0.3">
      <c r="A17" s="29" t="s">
        <v>100</v>
      </c>
      <c r="B17" s="8"/>
      <c r="C17" s="8"/>
      <c r="D17" s="8"/>
      <c r="E17" s="8">
        <f>SUM(E2:E16)</f>
        <v>156900</v>
      </c>
      <c r="F17" s="8"/>
    </row>
    <row r="18" spans="1:6" x14ac:dyDescent="0.3">
      <c r="A18" s="29" t="s">
        <v>101</v>
      </c>
      <c r="B18" s="8"/>
      <c r="C18" s="8"/>
      <c r="D18" s="8"/>
      <c r="E18" s="8">
        <f>E17*23%</f>
        <v>36087</v>
      </c>
      <c r="F18" s="8"/>
    </row>
    <row r="19" spans="1:6" x14ac:dyDescent="0.3">
      <c r="A19" s="29" t="s">
        <v>102</v>
      </c>
      <c r="B19" s="8"/>
      <c r="C19" s="8"/>
      <c r="D19" s="8"/>
      <c r="E19" s="8">
        <f>SUM(E17:E18)</f>
        <v>192987</v>
      </c>
      <c r="F19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5"/>
  <sheetViews>
    <sheetView showGridLines="0" workbookViewId="0">
      <pane ySplit="5" topLeftCell="A6" activePane="bottomLeft" state="frozen"/>
      <selection pane="bottomLeft" activeCell="D8" sqref="D8"/>
    </sheetView>
  </sheetViews>
  <sheetFormatPr defaultRowHeight="14.4" x14ac:dyDescent="0.3"/>
  <cols>
    <col min="1" max="1" width="11.33203125" style="7" bestFit="1" customWidth="1"/>
    <col min="2" max="2" width="9.33203125" style="7" bestFit="1" customWidth="1"/>
    <col min="3" max="3" width="12.33203125" style="7" bestFit="1" customWidth="1"/>
    <col min="4" max="4" width="33.88671875" style="7" bestFit="1" customWidth="1"/>
    <col min="5" max="5" width="12.109375" style="7" bestFit="1" customWidth="1"/>
    <col min="6" max="6" width="68.44140625" style="7" bestFit="1" customWidth="1"/>
    <col min="8" max="8" width="15" customWidth="1"/>
    <col min="9" max="9" width="12" customWidth="1"/>
  </cols>
  <sheetData>
    <row r="1" spans="1:9" ht="21.9" customHeight="1" x14ac:dyDescent="0.35">
      <c r="A1" s="25" t="s">
        <v>0</v>
      </c>
      <c r="B1" s="26"/>
      <c r="C1" s="26"/>
      <c r="D1" s="26"/>
      <c r="E1" s="26"/>
      <c r="F1" s="26"/>
      <c r="H1" s="1" t="s">
        <v>1</v>
      </c>
      <c r="I1" s="2">
        <v>4.4450000000000003</v>
      </c>
    </row>
    <row r="2" spans="1:9" ht="21.9" customHeight="1" x14ac:dyDescent="0.3"/>
    <row r="3" spans="1:9" ht="21.9" customHeight="1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9" ht="21.9" customHeight="1" x14ac:dyDescent="0.3">
      <c r="A4" s="4" t="s">
        <v>8</v>
      </c>
      <c r="B4" s="4"/>
      <c r="C4" s="5">
        <f>SUM(C6:C47)</f>
        <v>1880</v>
      </c>
      <c r="D4" s="4" t="s">
        <v>9</v>
      </c>
      <c r="E4" s="5">
        <f>SUM(E6:E47)</f>
        <v>1880</v>
      </c>
      <c r="F4" s="4"/>
    </row>
    <row r="5" spans="1:9" ht="21.9" customHeight="1" x14ac:dyDescent="0.3">
      <c r="A5" s="6"/>
      <c r="B5" s="6"/>
      <c r="C5" s="6" t="s">
        <v>10</v>
      </c>
      <c r="D5" s="6"/>
      <c r="E5" s="6" t="s">
        <v>11</v>
      </c>
      <c r="F5" s="6"/>
      <c r="G5" s="6"/>
      <c r="H5" s="6"/>
      <c r="I5" s="6"/>
    </row>
    <row r="6" spans="1:9" ht="21.9" customHeight="1" x14ac:dyDescent="0.3">
      <c r="A6" s="13">
        <f t="shared" ref="A6:A47" si="0">RU*B6</f>
        <v>186.69</v>
      </c>
      <c r="B6" s="8">
        <v>42</v>
      </c>
      <c r="C6" s="14"/>
      <c r="D6" s="8" t="s">
        <v>12</v>
      </c>
      <c r="E6" s="14"/>
      <c r="F6" s="8" t="s">
        <v>13</v>
      </c>
    </row>
    <row r="7" spans="1:9" ht="21.9" customHeight="1" x14ac:dyDescent="0.3">
      <c r="A7" s="13">
        <f t="shared" si="0"/>
        <v>182.245</v>
      </c>
      <c r="B7" s="8">
        <v>41</v>
      </c>
      <c r="C7" s="14">
        <v>250</v>
      </c>
      <c r="D7" s="8" t="s">
        <v>14</v>
      </c>
      <c r="E7" s="14">
        <v>250</v>
      </c>
      <c r="F7" s="8" t="s">
        <v>15</v>
      </c>
    </row>
    <row r="8" spans="1:9" ht="21.9" customHeight="1" x14ac:dyDescent="0.3">
      <c r="A8" s="13">
        <f t="shared" si="0"/>
        <v>177.8</v>
      </c>
      <c r="B8" s="8">
        <v>40</v>
      </c>
      <c r="C8" s="14"/>
      <c r="D8" s="8" t="s">
        <v>16</v>
      </c>
      <c r="E8" s="14"/>
      <c r="F8" s="8" t="s">
        <v>17</v>
      </c>
    </row>
    <row r="9" spans="1:9" ht="21.9" customHeight="1" x14ac:dyDescent="0.3">
      <c r="A9" s="13">
        <f t="shared" si="0"/>
        <v>173.35500000000002</v>
      </c>
      <c r="B9" s="8">
        <v>39</v>
      </c>
      <c r="C9" s="14">
        <v>250</v>
      </c>
      <c r="D9" s="8" t="s">
        <v>18</v>
      </c>
      <c r="E9" s="14">
        <v>250</v>
      </c>
      <c r="F9" s="8" t="s">
        <v>19</v>
      </c>
    </row>
    <row r="10" spans="1:9" ht="21.9" customHeight="1" x14ac:dyDescent="0.3">
      <c r="A10" s="13">
        <f t="shared" si="0"/>
        <v>168.91000000000003</v>
      </c>
      <c r="B10" s="8">
        <v>38</v>
      </c>
      <c r="C10" s="14"/>
      <c r="D10" s="8" t="s">
        <v>16</v>
      </c>
      <c r="E10" s="14"/>
      <c r="F10" s="8" t="s">
        <v>17</v>
      </c>
    </row>
    <row r="11" spans="1:9" ht="21.9" customHeight="1" x14ac:dyDescent="0.3">
      <c r="A11" s="13">
        <f t="shared" si="0"/>
        <v>164.465</v>
      </c>
      <c r="B11" s="8">
        <v>37</v>
      </c>
      <c r="C11" s="14">
        <v>250</v>
      </c>
      <c r="D11" s="8" t="s">
        <v>20</v>
      </c>
      <c r="E11" s="14">
        <v>250</v>
      </c>
      <c r="F11" s="8" t="s">
        <v>21</v>
      </c>
    </row>
    <row r="12" spans="1:9" ht="21.9" customHeight="1" x14ac:dyDescent="0.3">
      <c r="A12" s="15">
        <f t="shared" si="0"/>
        <v>160.02000000000001</v>
      </c>
      <c r="B12" s="9">
        <v>36</v>
      </c>
      <c r="C12" s="16"/>
      <c r="D12" s="9" t="s">
        <v>22</v>
      </c>
      <c r="E12" s="16"/>
      <c r="F12" s="9" t="s">
        <v>23</v>
      </c>
    </row>
    <row r="13" spans="1:9" ht="21.9" customHeight="1" x14ac:dyDescent="0.3">
      <c r="A13" s="15">
        <f t="shared" si="0"/>
        <v>155.57500000000002</v>
      </c>
      <c r="B13" s="9">
        <v>35</v>
      </c>
      <c r="C13" s="16"/>
      <c r="D13" s="9" t="s">
        <v>22</v>
      </c>
      <c r="E13" s="16"/>
      <c r="F13" s="9" t="s">
        <v>23</v>
      </c>
    </row>
    <row r="14" spans="1:9" ht="21.9" customHeight="1" x14ac:dyDescent="0.3">
      <c r="A14" s="17">
        <f t="shared" si="0"/>
        <v>151.13</v>
      </c>
      <c r="B14" s="10">
        <v>34</v>
      </c>
      <c r="C14" s="18">
        <v>550</v>
      </c>
      <c r="D14" s="10" t="s">
        <v>24</v>
      </c>
      <c r="E14" s="18">
        <v>550</v>
      </c>
      <c r="F14" s="10" t="s">
        <v>25</v>
      </c>
    </row>
    <row r="15" spans="1:9" ht="21.9" customHeight="1" x14ac:dyDescent="0.3">
      <c r="A15" s="17">
        <f t="shared" si="0"/>
        <v>146.685</v>
      </c>
      <c r="B15" s="10">
        <v>33</v>
      </c>
      <c r="C15" s="18"/>
      <c r="D15" s="10" t="s">
        <v>26</v>
      </c>
      <c r="E15" s="18"/>
      <c r="F15" s="10" t="s">
        <v>27</v>
      </c>
    </row>
    <row r="16" spans="1:9" ht="21.9" customHeight="1" x14ac:dyDescent="0.3">
      <c r="A16" s="15">
        <f t="shared" si="0"/>
        <v>142.24</v>
      </c>
      <c r="B16" s="9">
        <v>32</v>
      </c>
      <c r="C16" s="16"/>
      <c r="D16" s="9" t="s">
        <v>22</v>
      </c>
      <c r="E16" s="16"/>
      <c r="F16" s="9" t="s">
        <v>28</v>
      </c>
    </row>
    <row r="17" spans="1:6" ht="21.9" customHeight="1" x14ac:dyDescent="0.3">
      <c r="A17" s="17">
        <f t="shared" si="0"/>
        <v>137.79500000000002</v>
      </c>
      <c r="B17" s="10">
        <v>31</v>
      </c>
      <c r="C17" s="18">
        <v>550</v>
      </c>
      <c r="D17" s="10" t="s">
        <v>29</v>
      </c>
      <c r="E17" s="18">
        <v>550</v>
      </c>
      <c r="F17" s="10" t="s">
        <v>25</v>
      </c>
    </row>
    <row r="18" spans="1:6" ht="21.9" customHeight="1" x14ac:dyDescent="0.3">
      <c r="A18" s="17">
        <f t="shared" si="0"/>
        <v>133.35000000000002</v>
      </c>
      <c r="B18" s="10">
        <v>30</v>
      </c>
      <c r="C18" s="18"/>
      <c r="D18" s="10" t="s">
        <v>30</v>
      </c>
      <c r="E18" s="18"/>
      <c r="F18" s="10" t="s">
        <v>27</v>
      </c>
    </row>
    <row r="19" spans="1:6" ht="21.9" customHeight="1" x14ac:dyDescent="0.3">
      <c r="A19" s="15">
        <f t="shared" si="0"/>
        <v>128.905</v>
      </c>
      <c r="B19" s="9">
        <v>29</v>
      </c>
      <c r="C19" s="16"/>
      <c r="D19" s="9" t="s">
        <v>22</v>
      </c>
      <c r="E19" s="16"/>
      <c r="F19" s="9" t="s">
        <v>28</v>
      </c>
    </row>
    <row r="20" spans="1:6" ht="21.9" customHeight="1" x14ac:dyDescent="0.3">
      <c r="A20" s="19">
        <f t="shared" si="0"/>
        <v>124.46000000000001</v>
      </c>
      <c r="B20" s="11">
        <v>28</v>
      </c>
      <c r="C20" s="20">
        <v>30</v>
      </c>
      <c r="D20" s="11" t="s">
        <v>31</v>
      </c>
      <c r="E20" s="20">
        <v>30</v>
      </c>
      <c r="F20" s="11" t="s">
        <v>32</v>
      </c>
    </row>
    <row r="21" spans="1:6" ht="21.9" customHeight="1" x14ac:dyDescent="0.3">
      <c r="A21" s="19">
        <f t="shared" si="0"/>
        <v>120.01500000000001</v>
      </c>
      <c r="B21" s="11">
        <v>27</v>
      </c>
      <c r="C21" s="20"/>
      <c r="D21" s="11" t="s">
        <v>33</v>
      </c>
      <c r="E21" s="20"/>
      <c r="F21" s="11" t="s">
        <v>34</v>
      </c>
    </row>
    <row r="22" spans="1:6" ht="21.9" customHeight="1" x14ac:dyDescent="0.3">
      <c r="A22" s="15">
        <f t="shared" si="0"/>
        <v>115.57000000000001</v>
      </c>
      <c r="B22" s="9">
        <v>26</v>
      </c>
      <c r="C22" s="16"/>
      <c r="D22" s="9" t="s">
        <v>35</v>
      </c>
      <c r="E22" s="16"/>
      <c r="F22" s="9" t="s">
        <v>36</v>
      </c>
    </row>
    <row r="23" spans="1:6" ht="21.9" customHeight="1" x14ac:dyDescent="0.3">
      <c r="A23" s="15">
        <f t="shared" si="0"/>
        <v>111.125</v>
      </c>
      <c r="B23" s="9">
        <v>25</v>
      </c>
      <c r="C23" s="16"/>
      <c r="D23" s="9" t="s">
        <v>35</v>
      </c>
      <c r="E23" s="16"/>
      <c r="F23" s="9" t="s">
        <v>36</v>
      </c>
    </row>
    <row r="24" spans="1:6" ht="21.9" customHeight="1" x14ac:dyDescent="0.3">
      <c r="A24" s="15">
        <f t="shared" si="0"/>
        <v>106.68</v>
      </c>
      <c r="B24" s="9">
        <v>24</v>
      </c>
      <c r="C24" s="16"/>
      <c r="D24" s="9" t="s">
        <v>35</v>
      </c>
      <c r="E24" s="16"/>
      <c r="F24" s="9" t="s">
        <v>36</v>
      </c>
    </row>
    <row r="25" spans="1:6" ht="21.9" customHeight="1" x14ac:dyDescent="0.3">
      <c r="A25" s="15">
        <f t="shared" si="0"/>
        <v>102.23500000000001</v>
      </c>
      <c r="B25" s="9">
        <v>23</v>
      </c>
      <c r="C25" s="16"/>
      <c r="D25" s="9" t="s">
        <v>35</v>
      </c>
      <c r="E25" s="16"/>
      <c r="F25" s="9" t="s">
        <v>36</v>
      </c>
    </row>
    <row r="26" spans="1:6" ht="21.9" customHeight="1" x14ac:dyDescent="0.3">
      <c r="A26" s="15">
        <f t="shared" si="0"/>
        <v>97.79</v>
      </c>
      <c r="B26" s="9">
        <v>22</v>
      </c>
      <c r="C26" s="16"/>
      <c r="D26" s="9" t="s">
        <v>35</v>
      </c>
      <c r="E26" s="16"/>
      <c r="F26" s="9" t="s">
        <v>36</v>
      </c>
    </row>
    <row r="27" spans="1:6" ht="21.9" customHeight="1" x14ac:dyDescent="0.3">
      <c r="A27" s="15">
        <f t="shared" si="0"/>
        <v>93.344999999999999</v>
      </c>
      <c r="B27" s="9">
        <v>21</v>
      </c>
      <c r="C27" s="16"/>
      <c r="D27" s="9" t="s">
        <v>35</v>
      </c>
      <c r="E27" s="16"/>
      <c r="F27" s="9" t="s">
        <v>36</v>
      </c>
    </row>
    <row r="28" spans="1:6" ht="21.9" customHeight="1" x14ac:dyDescent="0.3">
      <c r="A28" s="15">
        <f t="shared" si="0"/>
        <v>88.9</v>
      </c>
      <c r="B28" s="9">
        <v>20</v>
      </c>
      <c r="C28" s="16"/>
      <c r="D28" s="9" t="s">
        <v>35</v>
      </c>
      <c r="E28" s="16"/>
      <c r="F28" s="9" t="s">
        <v>36</v>
      </c>
    </row>
    <row r="29" spans="1:6" ht="21.9" customHeight="1" x14ac:dyDescent="0.3">
      <c r="A29" s="15">
        <f t="shared" si="0"/>
        <v>84.455000000000013</v>
      </c>
      <c r="B29" s="9">
        <v>19</v>
      </c>
      <c r="C29" s="16"/>
      <c r="D29" s="9" t="s">
        <v>35</v>
      </c>
      <c r="E29" s="16"/>
      <c r="F29" s="9" t="s">
        <v>36</v>
      </c>
    </row>
    <row r="30" spans="1:6" ht="21.9" customHeight="1" x14ac:dyDescent="0.3">
      <c r="A30" s="15">
        <f t="shared" si="0"/>
        <v>80.010000000000005</v>
      </c>
      <c r="B30" s="9">
        <v>18</v>
      </c>
      <c r="C30" s="16"/>
      <c r="D30" s="9" t="s">
        <v>35</v>
      </c>
      <c r="E30" s="16"/>
      <c r="F30" s="9" t="s">
        <v>36</v>
      </c>
    </row>
    <row r="31" spans="1:6" ht="21.9" customHeight="1" x14ac:dyDescent="0.3">
      <c r="A31" s="15">
        <f t="shared" si="0"/>
        <v>75.564999999999998</v>
      </c>
      <c r="B31" s="9">
        <v>17</v>
      </c>
      <c r="C31" s="16"/>
      <c r="D31" s="9" t="s">
        <v>35</v>
      </c>
      <c r="E31" s="16"/>
      <c r="F31" s="9" t="s">
        <v>36</v>
      </c>
    </row>
    <row r="32" spans="1:6" ht="21.9" customHeight="1" x14ac:dyDescent="0.3">
      <c r="A32" s="15">
        <f t="shared" si="0"/>
        <v>71.12</v>
      </c>
      <c r="B32" s="9">
        <v>16</v>
      </c>
      <c r="C32" s="16"/>
      <c r="D32" s="9" t="s">
        <v>35</v>
      </c>
      <c r="E32" s="16"/>
      <c r="F32" s="9" t="s">
        <v>36</v>
      </c>
    </row>
    <row r="33" spans="1:6" ht="21.9" customHeight="1" x14ac:dyDescent="0.3">
      <c r="A33" s="15">
        <f t="shared" si="0"/>
        <v>66.675000000000011</v>
      </c>
      <c r="B33" s="9">
        <v>15</v>
      </c>
      <c r="C33" s="16"/>
      <c r="D33" s="9" t="s">
        <v>35</v>
      </c>
      <c r="E33" s="16"/>
      <c r="F33" s="9" t="s">
        <v>36</v>
      </c>
    </row>
    <row r="34" spans="1:6" ht="21.9" customHeight="1" x14ac:dyDescent="0.3">
      <c r="A34" s="15">
        <f t="shared" si="0"/>
        <v>62.230000000000004</v>
      </c>
      <c r="B34" s="9">
        <v>14</v>
      </c>
      <c r="C34" s="16"/>
      <c r="D34" s="9" t="s">
        <v>35</v>
      </c>
      <c r="E34" s="16"/>
      <c r="F34" s="9" t="s">
        <v>36</v>
      </c>
    </row>
    <row r="35" spans="1:6" ht="21.9" customHeight="1" x14ac:dyDescent="0.3">
      <c r="A35" s="15">
        <f t="shared" si="0"/>
        <v>57.785000000000004</v>
      </c>
      <c r="B35" s="9">
        <v>13</v>
      </c>
      <c r="C35" s="16"/>
      <c r="D35" s="9" t="s">
        <v>35</v>
      </c>
      <c r="E35" s="16"/>
      <c r="F35" s="9" t="s">
        <v>36</v>
      </c>
    </row>
    <row r="36" spans="1:6" ht="21.9" customHeight="1" x14ac:dyDescent="0.3">
      <c r="A36" s="15">
        <f t="shared" si="0"/>
        <v>53.34</v>
      </c>
      <c r="B36" s="9">
        <v>12</v>
      </c>
      <c r="C36" s="16"/>
      <c r="D36" s="9" t="s">
        <v>35</v>
      </c>
      <c r="E36" s="16"/>
      <c r="F36" s="9" t="s">
        <v>36</v>
      </c>
    </row>
    <row r="37" spans="1:6" ht="21.9" customHeight="1" x14ac:dyDescent="0.3">
      <c r="A37" s="15">
        <f t="shared" si="0"/>
        <v>48.895000000000003</v>
      </c>
      <c r="B37" s="9">
        <v>11</v>
      </c>
      <c r="C37" s="16"/>
      <c r="D37" s="9" t="s">
        <v>35</v>
      </c>
      <c r="E37" s="16"/>
      <c r="F37" s="9" t="s">
        <v>36</v>
      </c>
    </row>
    <row r="38" spans="1:6" ht="21.9" customHeight="1" x14ac:dyDescent="0.3">
      <c r="A38" s="15">
        <f t="shared" si="0"/>
        <v>44.45</v>
      </c>
      <c r="B38" s="9">
        <v>10</v>
      </c>
      <c r="C38" s="16"/>
      <c r="D38" s="9" t="s">
        <v>35</v>
      </c>
      <c r="E38" s="16"/>
      <c r="F38" s="9" t="s">
        <v>36</v>
      </c>
    </row>
    <row r="39" spans="1:6" ht="21.9" customHeight="1" x14ac:dyDescent="0.3">
      <c r="A39" s="15">
        <f t="shared" si="0"/>
        <v>40.005000000000003</v>
      </c>
      <c r="B39" s="9">
        <v>9</v>
      </c>
      <c r="C39" s="16"/>
      <c r="D39" s="9" t="s">
        <v>35</v>
      </c>
      <c r="E39" s="16"/>
      <c r="F39" s="9" t="s">
        <v>36</v>
      </c>
    </row>
    <row r="40" spans="1:6" ht="21.9" customHeight="1" x14ac:dyDescent="0.3">
      <c r="A40" s="15">
        <f t="shared" si="0"/>
        <v>35.56</v>
      </c>
      <c r="B40" s="9">
        <v>8</v>
      </c>
      <c r="C40" s="16"/>
      <c r="D40" s="9" t="s">
        <v>35</v>
      </c>
      <c r="E40" s="16"/>
      <c r="F40" s="9" t="s">
        <v>36</v>
      </c>
    </row>
    <row r="41" spans="1:6" ht="21.9" customHeight="1" x14ac:dyDescent="0.3">
      <c r="A41" s="15">
        <f t="shared" si="0"/>
        <v>31.115000000000002</v>
      </c>
      <c r="B41" s="9">
        <v>7</v>
      </c>
      <c r="C41" s="16"/>
      <c r="D41" s="9" t="s">
        <v>35</v>
      </c>
      <c r="E41" s="16"/>
      <c r="F41" s="9" t="s">
        <v>36</v>
      </c>
    </row>
    <row r="42" spans="1:6" ht="21.9" customHeight="1" x14ac:dyDescent="0.3">
      <c r="A42" s="15">
        <f t="shared" si="0"/>
        <v>26.67</v>
      </c>
      <c r="B42" s="9">
        <v>6</v>
      </c>
      <c r="C42" s="16"/>
      <c r="D42" s="9" t="s">
        <v>35</v>
      </c>
      <c r="E42" s="16"/>
      <c r="F42" s="9" t="s">
        <v>36</v>
      </c>
    </row>
    <row r="43" spans="1:6" ht="21.9" customHeight="1" x14ac:dyDescent="0.3">
      <c r="A43" s="15">
        <f t="shared" si="0"/>
        <v>22.225000000000001</v>
      </c>
      <c r="B43" s="9">
        <v>5</v>
      </c>
      <c r="C43" s="16"/>
      <c r="D43" s="9" t="s">
        <v>35</v>
      </c>
      <c r="E43" s="16"/>
      <c r="F43" s="9" t="s">
        <v>36</v>
      </c>
    </row>
    <row r="44" spans="1:6" ht="21.9" customHeight="1" x14ac:dyDescent="0.3">
      <c r="A44" s="15">
        <f t="shared" si="0"/>
        <v>17.78</v>
      </c>
      <c r="B44" s="9">
        <v>4</v>
      </c>
      <c r="C44" s="16"/>
      <c r="D44" s="9" t="s">
        <v>35</v>
      </c>
      <c r="E44" s="16"/>
      <c r="F44" s="9" t="s">
        <v>36</v>
      </c>
    </row>
    <row r="45" spans="1:6" ht="21.9" customHeight="1" x14ac:dyDescent="0.3">
      <c r="A45" s="21">
        <f t="shared" si="0"/>
        <v>13.335000000000001</v>
      </c>
      <c r="B45" s="12">
        <v>3</v>
      </c>
      <c r="C45" s="22"/>
      <c r="D45" s="12" t="s">
        <v>37</v>
      </c>
      <c r="E45" s="22"/>
      <c r="F45" s="12" t="s">
        <v>38</v>
      </c>
    </row>
    <row r="46" spans="1:6" ht="21.9" customHeight="1" x14ac:dyDescent="0.3">
      <c r="A46" s="21">
        <f t="shared" si="0"/>
        <v>8.89</v>
      </c>
      <c r="B46" s="12">
        <v>2</v>
      </c>
      <c r="C46" s="22"/>
      <c r="D46" s="12" t="s">
        <v>39</v>
      </c>
      <c r="E46" s="22"/>
      <c r="F46" s="12" t="s">
        <v>40</v>
      </c>
    </row>
    <row r="47" spans="1:6" ht="21.9" customHeight="1" x14ac:dyDescent="0.3">
      <c r="A47" s="21">
        <f t="shared" si="0"/>
        <v>4.4450000000000003</v>
      </c>
      <c r="B47" s="12">
        <v>1</v>
      </c>
      <c r="C47" s="22"/>
      <c r="D47" s="12" t="s">
        <v>41</v>
      </c>
      <c r="E47" s="22"/>
      <c r="F47" s="12" t="s">
        <v>42</v>
      </c>
    </row>
    <row r="48" spans="1:6" ht="21.9" customHeight="1" x14ac:dyDescent="0.3"/>
    <row r="49" spans="1:6" ht="21.9" customHeight="1" x14ac:dyDescent="0.3"/>
    <row r="50" spans="1:6" ht="21.9" customHeight="1" x14ac:dyDescent="0.3">
      <c r="A50" s="27" t="s">
        <v>43</v>
      </c>
      <c r="B50" s="26"/>
      <c r="C50" s="26"/>
      <c r="D50" s="26"/>
      <c r="E50" s="26"/>
      <c r="F50" s="26"/>
    </row>
    <row r="51" spans="1:6" ht="21.9" customHeight="1" x14ac:dyDescent="0.3">
      <c r="A51" s="23" t="s">
        <v>44</v>
      </c>
      <c r="B51" s="24"/>
      <c r="C51" s="24"/>
      <c r="D51" s="24"/>
      <c r="E51" s="24"/>
      <c r="F51" s="24"/>
    </row>
    <row r="52" spans="1:6" ht="21.9" customHeight="1" x14ac:dyDescent="0.3">
      <c r="A52" s="23" t="s">
        <v>45</v>
      </c>
      <c r="B52" s="24"/>
      <c r="C52" s="24"/>
      <c r="D52" s="24"/>
      <c r="E52" s="24"/>
      <c r="F52" s="24"/>
    </row>
    <row r="53" spans="1:6" ht="21.9" customHeight="1" x14ac:dyDescent="0.3">
      <c r="A53" s="23" t="s">
        <v>46</v>
      </c>
      <c r="B53" s="24"/>
      <c r="C53" s="24"/>
      <c r="D53" s="24"/>
      <c r="E53" s="24"/>
      <c r="F53" s="24"/>
    </row>
    <row r="54" spans="1:6" ht="21.9" customHeight="1" x14ac:dyDescent="0.3">
      <c r="A54" s="23" t="s">
        <v>47</v>
      </c>
      <c r="B54" s="23"/>
      <c r="C54" s="23"/>
      <c r="D54" s="23"/>
      <c r="E54" s="23"/>
      <c r="F54" s="23"/>
    </row>
    <row r="55" spans="1:6" ht="21.9" customHeight="1" x14ac:dyDescent="0.3">
      <c r="A55" s="23" t="s">
        <v>48</v>
      </c>
      <c r="B55" s="24"/>
      <c r="C55" s="24"/>
      <c r="D55" s="24"/>
      <c r="E55" s="24"/>
      <c r="F55" s="24"/>
    </row>
  </sheetData>
  <mergeCells count="7">
    <mergeCell ref="A55:F55"/>
    <mergeCell ref="A54:F54"/>
    <mergeCell ref="A51:F51"/>
    <mergeCell ref="A52:F52"/>
    <mergeCell ref="A1:F1"/>
    <mergeCell ref="A50:F50"/>
    <mergeCell ref="A53:F53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Compute</vt:lpstr>
      <vt:lpstr>Rack Planning Sheet</vt:lpstr>
      <vt:lpstr>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Liam Saunders - STUDENT</cp:lastModifiedBy>
  <dcterms:created xsi:type="dcterms:W3CDTF">2026-05-01T08:19:30Z</dcterms:created>
  <dcterms:modified xsi:type="dcterms:W3CDTF">2026-05-03T09:58:32Z</dcterms:modified>
</cp:coreProperties>
</file>