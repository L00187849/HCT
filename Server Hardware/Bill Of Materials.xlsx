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49_atu_ie/Documents/L00187849/L00187849/Hybrid Cloud/CA1/"/>
    </mc:Choice>
  </mc:AlternateContent>
  <xr:revisionPtr revIDLastSave="1" documentId="8_{6A80381A-F444-4131-A807-C30B0AD0644D}" xr6:coauthVersionLast="47" xr6:coauthVersionMax="47" xr10:uidLastSave="{8955036F-AC44-4E50-9CE1-68681E58A1B3}"/>
  <bookViews>
    <workbookView xWindow="-108" yWindow="-108" windowWidth="23256" windowHeight="13896" xr2:uid="{29C7FB07-4F41-45E8-9437-14057472432A}"/>
  </bookViews>
  <sheets>
    <sheet name="Bill Of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" i="1" l="1"/>
  <c r="E29" i="1"/>
  <c r="F29" i="1" s="1"/>
  <c r="E28" i="1"/>
  <c r="F28" i="1" s="1"/>
  <c r="E27" i="1"/>
  <c r="F27" i="1" s="1"/>
  <c r="E25" i="1"/>
  <c r="F25" i="1" s="1"/>
  <c r="G25" i="1" s="1"/>
  <c r="F24" i="1"/>
  <c r="G24" i="1" s="1"/>
  <c r="E24" i="1"/>
  <c r="E22" i="1"/>
  <c r="F22" i="1" s="1"/>
  <c r="E21" i="1"/>
  <c r="E20" i="1"/>
  <c r="E19" i="1"/>
  <c r="E18" i="1"/>
  <c r="F18" i="1" s="1"/>
  <c r="E16" i="1"/>
  <c r="G15" i="1"/>
  <c r="F15" i="1"/>
  <c r="E15" i="1"/>
  <c r="E13" i="1"/>
  <c r="E12" i="1"/>
  <c r="E11" i="1"/>
  <c r="E10" i="1"/>
  <c r="E8" i="1"/>
  <c r="E7" i="1"/>
  <c r="E6" i="1"/>
  <c r="E5" i="1"/>
  <c r="G11" i="1" l="1"/>
  <c r="G20" i="1"/>
  <c r="G6" i="1"/>
  <c r="G30" i="1"/>
  <c r="F7" i="1"/>
  <c r="G7" i="1" s="1"/>
  <c r="F16" i="1"/>
  <c r="G16" i="1" s="1"/>
  <c r="F8" i="1"/>
  <c r="G8" i="1" s="1"/>
  <c r="G18" i="1"/>
  <c r="F10" i="1"/>
  <c r="G10" i="1" s="1"/>
  <c r="G27" i="1"/>
  <c r="F19" i="1"/>
  <c r="G19" i="1" s="1"/>
  <c r="F11" i="1"/>
  <c r="G28" i="1"/>
  <c r="F20" i="1"/>
  <c r="F12" i="1"/>
  <c r="G12" i="1" s="1"/>
  <c r="G29" i="1"/>
  <c r="F30" i="1"/>
  <c r="F13" i="1"/>
  <c r="G13" i="1" s="1"/>
  <c r="E32" i="1"/>
  <c r="F6" i="1"/>
  <c r="G22" i="1"/>
  <c r="F21" i="1"/>
  <c r="G21" i="1" s="1"/>
  <c r="F5" i="1"/>
  <c r="F33" i="1" l="1"/>
  <c r="G5" i="1"/>
  <c r="G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1FAF4095-E93A-4500-81EC-DC95BBB08942}">
      <text>
        <r>
          <rPr>
            <sz val="11"/>
            <color theme="1"/>
            <rFont val="Aptos Narrow"/>
            <family val="2"/>
            <scheme val="minor"/>
          </rPr>
          <t>VAT rate set to Irish standard 23%; update if assignment uses different rate.</t>
        </r>
      </text>
    </comment>
    <comment ref="D5" authorId="0" shapeId="0" xr:uid="{8092D277-0CA6-437F-AD93-87AD16E07AE8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6" authorId="0" shapeId="0" xr:uid="{5AC9F8F6-F822-4A66-9570-C4FFC50BA570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7" authorId="0" shapeId="0" xr:uid="{7F18DFA4-8EF7-4510-A380-87E53C19B821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8" authorId="0" shapeId="0" xr:uid="{3AC54DB5-C344-4AEE-9798-B1EFF76B6423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0" authorId="0" shapeId="0" xr:uid="{4F25CB3A-5987-4A69-BF1A-B567EDC0C8C4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1" authorId="0" shapeId="0" xr:uid="{579F264B-F0E6-4696-80E4-B770B73FE61A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2" authorId="0" shapeId="0" xr:uid="{B31D99D5-BE71-471C-B990-B536A2E8983A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3" authorId="0" shapeId="0" xr:uid="{23B4BDB4-FB0C-4F46-AF3C-2D78454599D0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5" authorId="0" shapeId="0" xr:uid="{87BA1ADA-598D-47CC-AE73-47EAAC188326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6" authorId="0" shapeId="0" xr:uid="{5331BD7A-747F-4389-82A5-A43CA3C7404E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8" authorId="0" shapeId="0" xr:uid="{9C481167-BEC6-48EC-8731-EA97ABFFD7C6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19" authorId="0" shapeId="0" xr:uid="{22E33DC8-25AC-460F-836A-95C921AC2F1A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0" authorId="0" shapeId="0" xr:uid="{79C5037D-DFD9-4962-884C-7F3B185F2DBE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1" authorId="0" shapeId="0" xr:uid="{0634AFBE-DF75-4ADD-B374-187E59A9AD5F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2" authorId="0" shapeId="0" xr:uid="{DB1F2589-FDA6-4C30-B122-0D0603DBA5F1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4" authorId="0" shapeId="0" xr:uid="{E3C5D13A-8B7A-49EC-9D18-74CAD397B279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5" authorId="0" shapeId="0" xr:uid="{EDCE2042-1999-4207-BD7B-92BDBC3B21F0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7" authorId="0" shapeId="0" xr:uid="{964AFDCC-3DE2-44E2-9C44-972774D3B68D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8" authorId="0" shapeId="0" xr:uid="{A8A8CC0A-16A6-42C1-BA94-8BABE8650C48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29" authorId="0" shapeId="0" xr:uid="{C0A28004-2EBF-4A7D-ACF4-C703876324A6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  <comment ref="D30" authorId="0" shapeId="0" xr:uid="{E2264310-DAF0-429F-9994-0F341035EF3C}">
      <text>
        <r>
          <rPr>
            <sz val="11"/>
            <color theme="1"/>
            <rFont val="Aptos Narrow"/>
            <family val="2"/>
            <scheme val="minor"/>
          </rPr>
          <t>Estimated unit price. Replace with current supplier quote if available.</t>
        </r>
      </text>
    </comment>
  </commentList>
</comments>
</file>

<file path=xl/sharedStrings.xml><?xml version="1.0" encoding="utf-8"?>
<sst xmlns="http://schemas.openxmlformats.org/spreadsheetml/2006/main" count="81" uniqueCount="65">
  <si>
    <t>VAT Rate</t>
  </si>
  <si>
    <t>Note</t>
  </si>
  <si>
    <t>Prices are estimates for assignment planning and should be replaced with supplier quotes before purchase.</t>
  </si>
  <si>
    <t>Category</t>
  </si>
  <si>
    <t>Item</t>
  </si>
  <si>
    <t>Quantity</t>
  </si>
  <si>
    <t>Unit Price (€)</t>
  </si>
  <si>
    <t>Total Before VAT (€)</t>
  </si>
  <si>
    <t>VAT (€)</t>
  </si>
  <si>
    <t>Total After VAT (€)</t>
  </si>
  <si>
    <t>Notes / Source</t>
  </si>
  <si>
    <t>Server Cabinets &amp; Cooling</t>
  </si>
  <si>
    <t>42U Server Rack Cabinet</t>
  </si>
  <si>
    <t>Rack to house the private cloud equipment</t>
  </si>
  <si>
    <t>1U Cable Management / Blanking Panels</t>
  </si>
  <si>
    <t>Cable tidies and airflow blanking panels</t>
  </si>
  <si>
    <t>Power Distribution</t>
  </si>
  <si>
    <t>16A 230V Rack PDU</t>
  </si>
  <si>
    <t>PDU A and PDU B for redundant power</t>
  </si>
  <si>
    <t>UPS / Power Protection Unit</t>
  </si>
  <si>
    <t>Power protection for rack equipment</t>
  </si>
  <si>
    <t>Servers</t>
  </si>
  <si>
    <t>Dell PowerEdge R670 Host Server</t>
  </si>
  <si>
    <t>Dual CPU, 512GB RDIMM, RAID/boot storage and base configuration estimate</t>
  </si>
  <si>
    <t>Additional 25Gb SFP28 Network Adapter</t>
  </si>
  <si>
    <t>Additional NIC capacity for VM trunk and storage networks</t>
  </si>
  <si>
    <t>3.84TB SAS / Enterprise SSD Drives</t>
  </si>
  <si>
    <t>Data storage drives; RAID reduces usable capacity</t>
  </si>
  <si>
    <t>Hardware RAID Controller</t>
  </si>
  <si>
    <t>Dedicated RAID controller per host</t>
  </si>
  <si>
    <t>Networking Equipment</t>
  </si>
  <si>
    <t>Top-of-Rack Switch – VM/Storage Network</t>
  </si>
  <si>
    <t>Redundant switching for trunked VM and storage traffic</t>
  </si>
  <si>
    <t>Management Switch – 48 Port Gigabit</t>
  </si>
  <si>
    <t>Management and iDRAC/BMC connections</t>
  </si>
  <si>
    <t>Cabling &amp; Accessories</t>
  </si>
  <si>
    <t>C14 Power Cables</t>
  </si>
  <si>
    <t>Server, KVM and UPS/PDU equipment cabling</t>
  </si>
  <si>
    <t>C15 Power Cables</t>
  </si>
  <si>
    <t>Switch/PDU cabling</t>
  </si>
  <si>
    <t>RJ45 CAT6 Cables</t>
  </si>
  <si>
    <t>Management and iDRAC cabling</t>
  </si>
  <si>
    <t>SFP28 DAC / Fibre Cables</t>
  </si>
  <si>
    <t>High-speed server-to-switch links</t>
  </si>
  <si>
    <t>KVM Monitor &amp; Keyboard Drawer</t>
  </si>
  <si>
    <t>Local access for installation/maintenance</t>
  </si>
  <si>
    <t>Software Licences</t>
  </si>
  <si>
    <t>Windows Server 2025 Datacenter Licence</t>
  </si>
  <si>
    <t>Estimate only; final cost depends on core licensing calculator</t>
  </si>
  <si>
    <t>Additional Core Licences / CAL Allowance</t>
  </si>
  <si>
    <t>Allowance for core/CAL licensing checks</t>
  </si>
  <si>
    <t>Labour Costs</t>
  </si>
  <si>
    <t>Rack Installation and Cabling (hours)</t>
  </si>
  <si>
    <t>Physical rack install, cable management and labelling</t>
  </si>
  <si>
    <t>Server Configuration (hours)</t>
  </si>
  <si>
    <t>RAID, firmware, BIOS/iDRAC and base host configuration</t>
  </si>
  <si>
    <t>Network Configuration (hours)</t>
  </si>
  <si>
    <t>VLANs, trunk links, management links and testing</t>
  </si>
  <si>
    <t>Testing and Documentation (hours)</t>
  </si>
  <si>
    <t>Handover testing and final documentation</t>
  </si>
  <si>
    <t>Totals</t>
  </si>
  <si>
    <t>Equipment &amp; Labour before VAT</t>
  </si>
  <si>
    <t>VAT at 23%</t>
  </si>
  <si>
    <t>Equipment &amp; Labour after VAT</t>
  </si>
  <si>
    <t>Priced 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</si>
</sst>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;[Red]\(\€#,##0.00\);\-"/>
  </numFmts>
  <fonts count="7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0" fillId="4" borderId="1" xfId="0" applyFill="1" applyBorder="1" applyAlignment="1">
      <alignment horizontal="center" vertical="top" wrapText="1"/>
    </xf>
    <xf numFmtId="1" fontId="5" fillId="4" borderId="1" xfId="0" applyNumberFormat="1" applyFont="1" applyFill="1" applyBorder="1" applyAlignment="1">
      <alignment horizontal="center" vertical="top" wrapText="1"/>
    </xf>
    <xf numFmtId="164" fontId="5" fillId="4" borderId="1" xfId="0" applyNumberFormat="1" applyFont="1" applyFill="1" applyBorder="1" applyAlignment="1">
      <alignment horizontal="center" vertical="top" wrapText="1"/>
    </xf>
    <xf numFmtId="164" fontId="6" fillId="4" borderId="1" xfId="0" applyNumberFormat="1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1" fontId="5" fillId="5" borderId="1" xfId="0" applyNumberFormat="1" applyFont="1" applyFill="1" applyBorder="1" applyAlignment="1">
      <alignment horizontal="center" vertical="top" wrapText="1"/>
    </xf>
    <xf numFmtId="164" fontId="5" fillId="5" borderId="1" xfId="0" applyNumberFormat="1" applyFont="1" applyFill="1" applyBorder="1" applyAlignment="1">
      <alignment horizontal="center" vertical="top" wrapText="1"/>
    </xf>
    <xf numFmtId="164" fontId="6" fillId="5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1" fontId="5" fillId="6" borderId="1" xfId="0" applyNumberFormat="1" applyFont="1" applyFill="1" applyBorder="1" applyAlignment="1">
      <alignment horizontal="center" vertical="top" wrapText="1"/>
    </xf>
    <xf numFmtId="164" fontId="5" fillId="6" borderId="1" xfId="0" applyNumberFormat="1" applyFont="1" applyFill="1" applyBorder="1" applyAlignment="1">
      <alignment horizontal="center" vertical="top" wrapText="1"/>
    </xf>
    <xf numFmtId="164" fontId="6" fillId="6" borderId="1" xfId="0" applyNumberFormat="1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1" fontId="5" fillId="7" borderId="1" xfId="0" applyNumberFormat="1" applyFont="1" applyFill="1" applyBorder="1" applyAlignment="1">
      <alignment horizontal="center" vertical="top" wrapText="1"/>
    </xf>
    <xf numFmtId="164" fontId="5" fillId="7" borderId="1" xfId="0" applyNumberFormat="1" applyFont="1" applyFill="1" applyBorder="1" applyAlignment="1">
      <alignment horizontal="center" vertical="top" wrapText="1"/>
    </xf>
    <xf numFmtId="164" fontId="6" fillId="7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1" fontId="5" fillId="8" borderId="1" xfId="0" applyNumberFormat="1" applyFont="1" applyFill="1" applyBorder="1" applyAlignment="1">
      <alignment horizontal="center" vertical="top" wrapText="1"/>
    </xf>
    <xf numFmtId="164" fontId="5" fillId="8" borderId="1" xfId="0" applyNumberFormat="1" applyFont="1" applyFill="1" applyBorder="1" applyAlignment="1">
      <alignment horizontal="center" vertical="top" wrapText="1"/>
    </xf>
    <xf numFmtId="164" fontId="6" fillId="8" borderId="1" xfId="0" applyNumberFormat="1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1" fontId="5" fillId="9" borderId="1" xfId="0" applyNumberFormat="1" applyFont="1" applyFill="1" applyBorder="1" applyAlignment="1">
      <alignment horizontal="center" vertical="top" wrapText="1"/>
    </xf>
    <xf numFmtId="164" fontId="5" fillId="9" borderId="1" xfId="0" applyNumberFormat="1" applyFont="1" applyFill="1" applyBorder="1" applyAlignment="1">
      <alignment horizontal="center" vertical="top" wrapText="1"/>
    </xf>
    <xf numFmtId="164" fontId="6" fillId="9" borderId="1" xfId="0" applyNumberFormat="1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1" fontId="4" fillId="3" borderId="1" xfId="0" applyNumberFormat="1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A1F0-DD1E-42BB-A051-C5EF254FF080}">
  <dimension ref="A1:H34"/>
  <sheetViews>
    <sheetView tabSelected="1" workbookViewId="0">
      <selection activeCell="E2" sqref="E2"/>
    </sheetView>
  </sheetViews>
  <sheetFormatPr defaultRowHeight="14.4" x14ac:dyDescent="0.3"/>
  <cols>
    <col min="1" max="1" width="24" style="1" customWidth="1"/>
    <col min="2" max="2" width="42" style="1" customWidth="1"/>
    <col min="3" max="3" width="12" style="1" customWidth="1"/>
    <col min="4" max="4" width="16" style="1" customWidth="1"/>
    <col min="5" max="5" width="20" style="1" customWidth="1"/>
    <col min="6" max="6" width="14" style="1" customWidth="1"/>
    <col min="7" max="7" width="20" style="1" customWidth="1"/>
    <col min="8" max="8" width="55" style="1" customWidth="1"/>
  </cols>
  <sheetData>
    <row r="1" spans="1:8" ht="18" x14ac:dyDescent="0.35">
      <c r="A1" s="41" t="s">
        <v>64</v>
      </c>
      <c r="B1" s="42"/>
      <c r="C1" s="42"/>
      <c r="D1" s="42"/>
      <c r="E1" s="42"/>
      <c r="F1" s="42"/>
      <c r="G1" s="42"/>
      <c r="H1" s="42"/>
    </row>
    <row r="2" spans="1:8" ht="86.4" x14ac:dyDescent="0.3">
      <c r="A2" s="2" t="s">
        <v>0</v>
      </c>
      <c r="B2" s="3">
        <v>0.23</v>
      </c>
      <c r="D2" s="1" t="s">
        <v>1</v>
      </c>
      <c r="E2" s="4" t="s">
        <v>2</v>
      </c>
    </row>
    <row r="3" spans="1:8" ht="21.9" customHeight="1" x14ac:dyDescent="0.3"/>
    <row r="4" spans="1:8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spans="1:8" x14ac:dyDescent="0.3">
      <c r="A5" s="6" t="s">
        <v>11</v>
      </c>
      <c r="B5" s="6" t="s">
        <v>12</v>
      </c>
      <c r="C5" s="7">
        <v>1</v>
      </c>
      <c r="D5" s="8">
        <v>1399</v>
      </c>
      <c r="E5" s="9">
        <f>C5*D5</f>
        <v>1399</v>
      </c>
      <c r="F5" s="9">
        <f>E5*$B$2</f>
        <v>321.77000000000004</v>
      </c>
      <c r="G5" s="9">
        <f>E5+F5</f>
        <v>1720.77</v>
      </c>
      <c r="H5" s="6" t="s">
        <v>13</v>
      </c>
    </row>
    <row r="6" spans="1:8" x14ac:dyDescent="0.3">
      <c r="A6" s="6" t="s">
        <v>11</v>
      </c>
      <c r="B6" s="6" t="s">
        <v>14</v>
      </c>
      <c r="C6" s="7">
        <v>8</v>
      </c>
      <c r="D6" s="8">
        <v>35</v>
      </c>
      <c r="E6" s="9">
        <f>C6*D6</f>
        <v>280</v>
      </c>
      <c r="F6" s="9">
        <f>E6*$B$2</f>
        <v>64.400000000000006</v>
      </c>
      <c r="G6" s="9">
        <f>E6+F6</f>
        <v>344.4</v>
      </c>
      <c r="H6" s="6" t="s">
        <v>15</v>
      </c>
    </row>
    <row r="7" spans="1:8" x14ac:dyDescent="0.3">
      <c r="A7" s="10" t="s">
        <v>16</v>
      </c>
      <c r="B7" s="10" t="s">
        <v>17</v>
      </c>
      <c r="C7" s="11">
        <v>2</v>
      </c>
      <c r="D7" s="12">
        <v>89</v>
      </c>
      <c r="E7" s="13">
        <f>C7*D7</f>
        <v>178</v>
      </c>
      <c r="F7" s="13">
        <f>E7*$B$2</f>
        <v>40.940000000000005</v>
      </c>
      <c r="G7" s="13">
        <f>E7+F7</f>
        <v>218.94</v>
      </c>
      <c r="H7" s="10" t="s">
        <v>18</v>
      </c>
    </row>
    <row r="8" spans="1:8" x14ac:dyDescent="0.3">
      <c r="A8" s="10" t="s">
        <v>16</v>
      </c>
      <c r="B8" s="10" t="s">
        <v>19</v>
      </c>
      <c r="C8" s="11">
        <v>1</v>
      </c>
      <c r="D8" s="12">
        <v>1299</v>
      </c>
      <c r="E8" s="13">
        <f>C8*D8</f>
        <v>1299</v>
      </c>
      <c r="F8" s="13">
        <f>E8*$B$2</f>
        <v>298.77000000000004</v>
      </c>
      <c r="G8" s="13">
        <f>E8+F8</f>
        <v>1597.77</v>
      </c>
      <c r="H8" s="10" t="s">
        <v>20</v>
      </c>
    </row>
    <row r="9" spans="1:8" ht="21.9" customHeight="1" x14ac:dyDescent="0.3">
      <c r="A9" s="14"/>
      <c r="B9" s="14"/>
      <c r="C9" s="15"/>
      <c r="D9" s="16"/>
      <c r="E9" s="17"/>
      <c r="F9" s="17"/>
      <c r="G9" s="17"/>
      <c r="H9" s="14"/>
    </row>
    <row r="10" spans="1:8" ht="28.8" x14ac:dyDescent="0.3">
      <c r="A10" s="18" t="s">
        <v>21</v>
      </c>
      <c r="B10" s="18" t="s">
        <v>22</v>
      </c>
      <c r="C10" s="19">
        <v>2</v>
      </c>
      <c r="D10" s="20">
        <v>60000</v>
      </c>
      <c r="E10" s="21">
        <f>C10*D10</f>
        <v>120000</v>
      </c>
      <c r="F10" s="21">
        <f>E10*$B$2</f>
        <v>27600</v>
      </c>
      <c r="G10" s="21">
        <f>E10+F10</f>
        <v>147600</v>
      </c>
      <c r="H10" s="18" t="s">
        <v>23</v>
      </c>
    </row>
    <row r="11" spans="1:8" x14ac:dyDescent="0.3">
      <c r="A11" s="18" t="s">
        <v>21</v>
      </c>
      <c r="B11" s="18" t="s">
        <v>24</v>
      </c>
      <c r="C11" s="19">
        <v>2</v>
      </c>
      <c r="D11" s="20">
        <v>1500</v>
      </c>
      <c r="E11" s="21">
        <f>C11*D11</f>
        <v>3000</v>
      </c>
      <c r="F11" s="21">
        <f>E11*$B$2</f>
        <v>690</v>
      </c>
      <c r="G11" s="21">
        <f>E11+F11</f>
        <v>3690</v>
      </c>
      <c r="H11" s="18" t="s">
        <v>25</v>
      </c>
    </row>
    <row r="12" spans="1:8" x14ac:dyDescent="0.3">
      <c r="A12" s="18" t="s">
        <v>21</v>
      </c>
      <c r="B12" s="18" t="s">
        <v>26</v>
      </c>
      <c r="C12" s="19">
        <v>8</v>
      </c>
      <c r="D12" s="20">
        <v>500</v>
      </c>
      <c r="E12" s="21">
        <f>C12*D12</f>
        <v>4000</v>
      </c>
      <c r="F12" s="21">
        <f>E12*$B$2</f>
        <v>920</v>
      </c>
      <c r="G12" s="21">
        <f>E12+F12</f>
        <v>4920</v>
      </c>
      <c r="H12" s="18" t="s">
        <v>27</v>
      </c>
    </row>
    <row r="13" spans="1:8" x14ac:dyDescent="0.3">
      <c r="A13" s="18" t="s">
        <v>21</v>
      </c>
      <c r="B13" s="18" t="s">
        <v>28</v>
      </c>
      <c r="C13" s="19">
        <v>2</v>
      </c>
      <c r="D13" s="20">
        <v>800</v>
      </c>
      <c r="E13" s="21">
        <f>C13*D13</f>
        <v>1600</v>
      </c>
      <c r="F13" s="21">
        <f>E13*$B$2</f>
        <v>368</v>
      </c>
      <c r="G13" s="21">
        <f>E13+F13</f>
        <v>1968</v>
      </c>
      <c r="H13" s="18" t="s">
        <v>29</v>
      </c>
    </row>
    <row r="14" spans="1:8" ht="21.9" customHeight="1" x14ac:dyDescent="0.3">
      <c r="A14" s="14"/>
      <c r="B14" s="14"/>
      <c r="C14" s="15"/>
      <c r="D14" s="16"/>
      <c r="E14" s="17"/>
      <c r="F14" s="17"/>
      <c r="G14" s="17"/>
      <c r="H14" s="14"/>
    </row>
    <row r="15" spans="1:8" x14ac:dyDescent="0.3">
      <c r="A15" s="22" t="s">
        <v>30</v>
      </c>
      <c r="B15" s="22" t="s">
        <v>31</v>
      </c>
      <c r="C15" s="23">
        <v>2</v>
      </c>
      <c r="D15" s="24">
        <v>1680</v>
      </c>
      <c r="E15" s="25">
        <f>C15*D15</f>
        <v>3360</v>
      </c>
      <c r="F15" s="25">
        <f>E15*$B$2</f>
        <v>772.80000000000007</v>
      </c>
      <c r="G15" s="25">
        <f>E15+F15</f>
        <v>4132.8</v>
      </c>
      <c r="H15" s="22" t="s">
        <v>32</v>
      </c>
    </row>
    <row r="16" spans="1:8" x14ac:dyDescent="0.3">
      <c r="A16" s="22" t="s">
        <v>30</v>
      </c>
      <c r="B16" s="22" t="s">
        <v>33</v>
      </c>
      <c r="C16" s="23">
        <v>1</v>
      </c>
      <c r="D16" s="24">
        <v>619.13</v>
      </c>
      <c r="E16" s="25">
        <f>C16*D16</f>
        <v>619.13</v>
      </c>
      <c r="F16" s="25">
        <f>E16*$B$2</f>
        <v>142.3999</v>
      </c>
      <c r="G16" s="25">
        <f>E16+F16</f>
        <v>761.5299</v>
      </c>
      <c r="H16" s="22" t="s">
        <v>34</v>
      </c>
    </row>
    <row r="17" spans="1:8" ht="21.9" customHeight="1" x14ac:dyDescent="0.3">
      <c r="A17" s="14"/>
      <c r="B17" s="14"/>
      <c r="C17" s="15"/>
      <c r="D17" s="16"/>
      <c r="E17" s="17"/>
      <c r="F17" s="17"/>
      <c r="G17" s="17"/>
      <c r="H17" s="14"/>
    </row>
    <row r="18" spans="1:8" x14ac:dyDescent="0.3">
      <c r="A18" s="26" t="s">
        <v>35</v>
      </c>
      <c r="B18" s="26" t="s">
        <v>36</v>
      </c>
      <c r="C18" s="27">
        <v>6</v>
      </c>
      <c r="D18" s="28">
        <v>15</v>
      </c>
      <c r="E18" s="29">
        <f>C18*D18</f>
        <v>90</v>
      </c>
      <c r="F18" s="29">
        <f>E18*$B$2</f>
        <v>20.7</v>
      </c>
      <c r="G18" s="29">
        <f>E18+F18</f>
        <v>110.7</v>
      </c>
      <c r="H18" s="26" t="s">
        <v>37</v>
      </c>
    </row>
    <row r="19" spans="1:8" x14ac:dyDescent="0.3">
      <c r="A19" s="26" t="s">
        <v>35</v>
      </c>
      <c r="B19" s="26" t="s">
        <v>38</v>
      </c>
      <c r="C19" s="27">
        <v>6</v>
      </c>
      <c r="D19" s="28">
        <v>18</v>
      </c>
      <c r="E19" s="29">
        <f>C19*D19</f>
        <v>108</v>
      </c>
      <c r="F19" s="29">
        <f>E19*$B$2</f>
        <v>24.84</v>
      </c>
      <c r="G19" s="29">
        <f>E19+F19</f>
        <v>132.84</v>
      </c>
      <c r="H19" s="26" t="s">
        <v>39</v>
      </c>
    </row>
    <row r="20" spans="1:8" x14ac:dyDescent="0.3">
      <c r="A20" s="26" t="s">
        <v>35</v>
      </c>
      <c r="B20" s="26" t="s">
        <v>40</v>
      </c>
      <c r="C20" s="27">
        <v>48</v>
      </c>
      <c r="D20" s="28">
        <v>5</v>
      </c>
      <c r="E20" s="29">
        <f>C20*D20</f>
        <v>240</v>
      </c>
      <c r="F20" s="29">
        <f>E20*$B$2</f>
        <v>55.2</v>
      </c>
      <c r="G20" s="29">
        <f>E20+F20</f>
        <v>295.2</v>
      </c>
      <c r="H20" s="26" t="s">
        <v>41</v>
      </c>
    </row>
    <row r="21" spans="1:8" x14ac:dyDescent="0.3">
      <c r="A21" s="26" t="s">
        <v>35</v>
      </c>
      <c r="B21" s="26" t="s">
        <v>42</v>
      </c>
      <c r="C21" s="27">
        <v>8</v>
      </c>
      <c r="D21" s="28">
        <v>65</v>
      </c>
      <c r="E21" s="29">
        <f>C21*D21</f>
        <v>520</v>
      </c>
      <c r="F21" s="29">
        <f>E21*$B$2</f>
        <v>119.60000000000001</v>
      </c>
      <c r="G21" s="29">
        <f>E21+F21</f>
        <v>639.6</v>
      </c>
      <c r="H21" s="26" t="s">
        <v>43</v>
      </c>
    </row>
    <row r="22" spans="1:8" x14ac:dyDescent="0.3">
      <c r="A22" s="26" t="s">
        <v>35</v>
      </c>
      <c r="B22" s="26" t="s">
        <v>44</v>
      </c>
      <c r="C22" s="27">
        <v>1</v>
      </c>
      <c r="D22" s="28">
        <v>450</v>
      </c>
      <c r="E22" s="29">
        <f>C22*D22</f>
        <v>450</v>
      </c>
      <c r="F22" s="29">
        <f>E22*$B$2</f>
        <v>103.5</v>
      </c>
      <c r="G22" s="29">
        <f>E22+F22</f>
        <v>553.5</v>
      </c>
      <c r="H22" s="26" t="s">
        <v>45</v>
      </c>
    </row>
    <row r="23" spans="1:8" ht="21.9" customHeight="1" x14ac:dyDescent="0.3">
      <c r="A23" s="14"/>
      <c r="B23" s="14"/>
      <c r="C23" s="15"/>
      <c r="D23" s="16"/>
      <c r="E23" s="17"/>
      <c r="F23" s="17"/>
      <c r="G23" s="17"/>
      <c r="H23" s="14"/>
    </row>
    <row r="24" spans="1:8" x14ac:dyDescent="0.3">
      <c r="A24" s="30" t="s">
        <v>46</v>
      </c>
      <c r="B24" s="30" t="s">
        <v>47</v>
      </c>
      <c r="C24" s="31">
        <v>2</v>
      </c>
      <c r="D24" s="32">
        <v>6000</v>
      </c>
      <c r="E24" s="33">
        <f>C24*D24</f>
        <v>12000</v>
      </c>
      <c r="F24" s="33">
        <f>E24*$B$2</f>
        <v>2760</v>
      </c>
      <c r="G24" s="33">
        <f>E24+F24</f>
        <v>14760</v>
      </c>
      <c r="H24" s="30" t="s">
        <v>48</v>
      </c>
    </row>
    <row r="25" spans="1:8" x14ac:dyDescent="0.3">
      <c r="A25" s="30" t="s">
        <v>46</v>
      </c>
      <c r="B25" s="30" t="s">
        <v>49</v>
      </c>
      <c r="C25" s="31">
        <v>1</v>
      </c>
      <c r="D25" s="32">
        <v>2500</v>
      </c>
      <c r="E25" s="33">
        <f>C25*D25</f>
        <v>2500</v>
      </c>
      <c r="F25" s="33">
        <f>E25*$B$2</f>
        <v>575</v>
      </c>
      <c r="G25" s="33">
        <f>E25+F25</f>
        <v>3075</v>
      </c>
      <c r="H25" s="30" t="s">
        <v>50</v>
      </c>
    </row>
    <row r="26" spans="1:8" ht="21.9" customHeight="1" x14ac:dyDescent="0.3">
      <c r="A26" s="14"/>
      <c r="B26" s="14"/>
      <c r="C26" s="15"/>
      <c r="D26" s="16"/>
      <c r="E26" s="17"/>
      <c r="F26" s="17"/>
      <c r="G26" s="17"/>
      <c r="H26" s="14"/>
    </row>
    <row r="27" spans="1:8" x14ac:dyDescent="0.3">
      <c r="A27" s="34" t="s">
        <v>51</v>
      </c>
      <c r="B27" s="34" t="s">
        <v>52</v>
      </c>
      <c r="C27" s="35">
        <v>16</v>
      </c>
      <c r="D27" s="36">
        <v>65</v>
      </c>
      <c r="E27" s="37">
        <f>C27*D27</f>
        <v>1040</v>
      </c>
      <c r="F27" s="37">
        <f>E27*$B$2</f>
        <v>239.20000000000002</v>
      </c>
      <c r="G27" s="37">
        <f>E27+F27</f>
        <v>1279.2</v>
      </c>
      <c r="H27" s="34" t="s">
        <v>53</v>
      </c>
    </row>
    <row r="28" spans="1:8" x14ac:dyDescent="0.3">
      <c r="A28" s="34" t="s">
        <v>51</v>
      </c>
      <c r="B28" s="34" t="s">
        <v>54</v>
      </c>
      <c r="C28" s="35">
        <v>12</v>
      </c>
      <c r="D28" s="36">
        <v>75</v>
      </c>
      <c r="E28" s="37">
        <f>C28*D28</f>
        <v>900</v>
      </c>
      <c r="F28" s="37">
        <f>E28*$B$2</f>
        <v>207</v>
      </c>
      <c r="G28" s="37">
        <f>E28+F28</f>
        <v>1107</v>
      </c>
      <c r="H28" s="34" t="s">
        <v>55</v>
      </c>
    </row>
    <row r="29" spans="1:8" x14ac:dyDescent="0.3">
      <c r="A29" s="34" t="s">
        <v>51</v>
      </c>
      <c r="B29" s="34" t="s">
        <v>56</v>
      </c>
      <c r="C29" s="35">
        <v>8</v>
      </c>
      <c r="D29" s="36">
        <v>75</v>
      </c>
      <c r="E29" s="37">
        <f>C29*D29</f>
        <v>600</v>
      </c>
      <c r="F29" s="37">
        <f>E29*$B$2</f>
        <v>138</v>
      </c>
      <c r="G29" s="37">
        <f>E29+F29</f>
        <v>738</v>
      </c>
      <c r="H29" s="34" t="s">
        <v>57</v>
      </c>
    </row>
    <row r="30" spans="1:8" x14ac:dyDescent="0.3">
      <c r="A30" s="34" t="s">
        <v>51</v>
      </c>
      <c r="B30" s="34" t="s">
        <v>58</v>
      </c>
      <c r="C30" s="35">
        <v>6</v>
      </c>
      <c r="D30" s="36">
        <v>65</v>
      </c>
      <c r="E30" s="37">
        <f>C30*D30</f>
        <v>390</v>
      </c>
      <c r="F30" s="37">
        <f>E30*$B$2</f>
        <v>89.7</v>
      </c>
      <c r="G30" s="37">
        <f>E30+F30</f>
        <v>479.7</v>
      </c>
      <c r="H30" s="34" t="s">
        <v>59</v>
      </c>
    </row>
    <row r="31" spans="1:8" ht="21.9" customHeight="1" x14ac:dyDescent="0.3">
      <c r="A31" s="14"/>
      <c r="B31" s="14"/>
      <c r="C31" s="15"/>
      <c r="D31" s="16"/>
      <c r="E31" s="16"/>
      <c r="F31" s="16"/>
      <c r="G31" s="16"/>
      <c r="H31" s="14"/>
    </row>
    <row r="32" spans="1:8" x14ac:dyDescent="0.3">
      <c r="A32" s="38" t="s">
        <v>60</v>
      </c>
      <c r="B32" s="38" t="s">
        <v>61</v>
      </c>
      <c r="C32" s="39"/>
      <c r="D32" s="40"/>
      <c r="E32" s="40">
        <f>SUM(E5:E30)</f>
        <v>154573.13</v>
      </c>
      <c r="F32" s="40"/>
      <c r="G32" s="40"/>
      <c r="H32" s="38"/>
    </row>
    <row r="33" spans="1:8" x14ac:dyDescent="0.3">
      <c r="A33" s="38" t="s">
        <v>60</v>
      </c>
      <c r="B33" s="38" t="s">
        <v>62</v>
      </c>
      <c r="C33" s="39"/>
      <c r="D33" s="40"/>
      <c r="E33" s="40"/>
      <c r="F33" s="40">
        <f>SUM(F5:F30)</f>
        <v>35551.819899999995</v>
      </c>
      <c r="G33" s="40"/>
      <c r="H33" s="38"/>
    </row>
    <row r="34" spans="1:8" x14ac:dyDescent="0.3">
      <c r="A34" s="38" t="s">
        <v>60</v>
      </c>
      <c r="B34" s="38" t="s">
        <v>63</v>
      </c>
      <c r="C34" s="39"/>
      <c r="D34" s="40"/>
      <c r="E34" s="40"/>
      <c r="F34" s="40"/>
      <c r="G34" s="40">
        <f>SUM(G5:G30)</f>
        <v>190124.94990000004</v>
      </c>
      <c r="H34" s="38"/>
    </row>
  </sheetData>
  <mergeCells count="1">
    <mergeCell ref="A1:H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Saunders - STUDENT</dc:creator>
  <cp:lastModifiedBy>Liam Saunders - STUDENT</cp:lastModifiedBy>
  <dcterms:created xsi:type="dcterms:W3CDTF">2026-05-01T08:29:09Z</dcterms:created>
  <dcterms:modified xsi:type="dcterms:W3CDTF">2026-05-03T09:59:03Z</dcterms:modified>
</cp:coreProperties>
</file>